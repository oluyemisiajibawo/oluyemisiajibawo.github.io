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lestone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5" customWidth="1" style="26" min="2" max="2"/>
    <col width="18" customWidth="1" style="26" min="3" max="3"/>
    <col width="15" customWidth="1" style="26" min="4" max="4"/>
    <col width="10" customWidth="1" style="26" min="5" max="5"/>
    <col width="12" customWidth="1" style="26" min="6" max="6"/>
    <col width="30" customWidth="1" style="26" min="7" max="7"/>
  </cols>
  <sheetData>
    <row r="1" ht="21.75" customHeight="1" s="27">
      <c r="A1" s="33" t="inlineStr">
        <is>
          <t>Milestone Tracker</t>
        </is>
      </c>
    </row>
    <row r="2" ht="15" customHeight="1" s="27">
      <c r="A2" s="34" t="inlineStr">
        <is>
          <t>Key milestones with RAG. Variance auto-calculates Baseline vs Forecast (days).</t>
        </is>
      </c>
    </row>
    <row r="4" ht="26.85" customHeight="1" s="27">
      <c r="A4" s="30" t="inlineStr">
        <is>
          <t>Milestone</t>
        </is>
      </c>
      <c r="B4" s="30" t="inlineStr">
        <is>
          <t>Baseline Date</t>
        </is>
      </c>
      <c r="C4" s="30" t="inlineStr">
        <is>
          <t>Forecast/Actual Date</t>
        </is>
      </c>
      <c r="D4" s="30" t="inlineStr">
        <is>
          <t>Variance (days)</t>
        </is>
      </c>
      <c r="E4" s="30" t="inlineStr">
        <is>
          <t>RAG</t>
        </is>
      </c>
      <c r="F4" s="30" t="inlineStr">
        <is>
          <t>Owner</t>
        </is>
      </c>
      <c r="G4" s="30" t="inlineStr">
        <is>
          <t>Comments</t>
        </is>
      </c>
    </row>
    <row r="5" ht="15" customHeight="1" s="27">
      <c r="A5" s="35" t="inlineStr">
        <is>
          <t>Charter approved</t>
        </is>
      </c>
      <c r="B5" s="35" t="inlineStr">
        <is>
          <t>2023-06-15</t>
        </is>
      </c>
      <c r="C5" s="35" t="inlineStr">
        <is>
          <t>2023-06-15</t>
        </is>
      </c>
      <c r="D5" s="37">
        <f>IF(AND(ISNUMBER(B5),ISNUMBER(C5)),C5-B5,"")</f>
        <v/>
      </c>
      <c r="E5" s="35" t="inlineStr">
        <is>
          <t>Green</t>
        </is>
      </c>
      <c r="F5" s="35" t="inlineStr">
        <is>
          <t>PM</t>
        </is>
      </c>
      <c r="G5" s="35" t="inlineStr">
        <is>
          <t>On time</t>
        </is>
      </c>
    </row>
    <row r="6" ht="15" customHeight="1" s="27">
      <c r="A6" s="35" t="inlineStr">
        <is>
          <t>Planning complete</t>
        </is>
      </c>
      <c r="B6" s="35" t="inlineStr">
        <is>
          <t>2023-07-15</t>
        </is>
      </c>
      <c r="C6" s="35" t="inlineStr">
        <is>
          <t>2023-07-20</t>
        </is>
      </c>
      <c r="D6" s="37">
        <f>IF(AND(ISNUMBER(B6),ISNUMBER(C6)),C6-B6,"")</f>
        <v/>
      </c>
      <c r="E6" s="35" t="inlineStr">
        <is>
          <t>Amber</t>
        </is>
      </c>
      <c r="F6" s="35" t="inlineStr">
        <is>
          <t>PM</t>
        </is>
      </c>
      <c r="G6" s="35" t="inlineStr">
        <is>
          <t>5-day slip</t>
        </is>
      </c>
    </row>
    <row r="7" ht="15" customHeight="1" s="27">
      <c r="A7" s="35" t="inlineStr">
        <is>
          <t>50% sites delivered</t>
        </is>
      </c>
      <c r="B7" s="35" t="inlineStr">
        <is>
          <t>2023-08-31</t>
        </is>
      </c>
      <c r="C7" s="35" t="inlineStr">
        <is>
          <t>2023-09-10</t>
        </is>
      </c>
      <c r="D7" s="37">
        <f>IF(AND(ISNUMBER(B7),ISNUMBER(C7)),C7-B7,"")</f>
        <v/>
      </c>
      <c r="E7" s="35" t="inlineStr">
        <is>
          <t>Red</t>
        </is>
      </c>
      <c r="F7" s="35" t="inlineStr">
        <is>
          <t>Ops</t>
        </is>
      </c>
      <c r="G7" s="35" t="inlineStr">
        <is>
          <t>Vendor delay</t>
        </is>
      </c>
    </row>
    <row r="8" ht="15" customHeight="1" s="27">
      <c r="A8" s="36" t="n"/>
      <c r="B8" s="36" t="n"/>
      <c r="C8" s="36" t="n"/>
      <c r="D8" s="38">
        <f>IF(AND(ISNUMBER(B8),ISNUMBER(C8)),C8-B8,"")</f>
        <v/>
      </c>
      <c r="E8" s="36" t="n"/>
      <c r="F8" s="36" t="n"/>
      <c r="G8" s="36" t="n"/>
    </row>
    <row r="9" ht="15" customHeight="1" s="27">
      <c r="A9" s="36" t="n"/>
      <c r="B9" s="36" t="n"/>
      <c r="C9" s="36" t="n"/>
      <c r="D9" s="38">
        <f>IF(AND(ISNUMBER(B9),ISNUMBER(C9)),C9-B9,"")</f>
        <v/>
      </c>
      <c r="E9" s="36" t="n"/>
      <c r="F9" s="36" t="n"/>
      <c r="G9" s="36" t="n"/>
    </row>
    <row r="10" ht="15" customHeight="1" s="27">
      <c r="A10" s="36" t="n"/>
      <c r="B10" s="36" t="n"/>
      <c r="C10" s="36" t="n"/>
      <c r="D10" s="38">
        <f>IF(AND(ISNUMBER(B10),ISNUMBER(C10)),C10-B10,"")</f>
        <v/>
      </c>
      <c r="E10" s="36" t="n"/>
      <c r="F10" s="36" t="n"/>
      <c r="G10" s="36" t="n"/>
    </row>
    <row r="11" ht="15" customHeight="1" s="27">
      <c r="A11" s="36" t="n"/>
      <c r="B11" s="36" t="n"/>
      <c r="C11" s="36" t="n"/>
      <c r="D11" s="38">
        <f>IF(AND(ISNUMBER(B11),ISNUMBER(C11)),C11-B11,"")</f>
        <v/>
      </c>
      <c r="E11" s="36" t="n"/>
      <c r="F11" s="36" t="n"/>
      <c r="G11" s="36" t="n"/>
    </row>
    <row r="12" ht="15" customHeight="1" s="27">
      <c r="A12" s="36" t="n"/>
      <c r="B12" s="36" t="n"/>
      <c r="C12" s="36" t="n"/>
      <c r="D12" s="38">
        <f>IF(AND(ISNUMBER(B12),ISNUMBER(C12)),C12-B12,"")</f>
        <v/>
      </c>
      <c r="E12" s="36" t="n"/>
      <c r="F12" s="36" t="n"/>
      <c r="G12" s="36" t="n"/>
    </row>
    <row r="13" ht="15" customHeight="1" s="27">
      <c r="A13" s="36" t="n"/>
      <c r="B13" s="36" t="n"/>
      <c r="C13" s="36" t="n"/>
      <c r="D13" s="38">
        <f>IF(AND(ISNUMBER(B13),ISNUMBER(C13)),C13-B13,"")</f>
        <v/>
      </c>
      <c r="E13" s="36" t="n"/>
      <c r="F13" s="36" t="n"/>
      <c r="G13" s="36" t="n"/>
    </row>
    <row r="14" ht="15" customHeight="1" s="27">
      <c r="A14" s="36" t="n"/>
      <c r="B14" s="36" t="n"/>
      <c r="C14" s="36" t="n"/>
      <c r="D14" s="38">
        <f>IF(AND(ISNUMBER(B14),ISNUMBER(C14)),C14-B14,"")</f>
        <v/>
      </c>
      <c r="E14" s="36" t="n"/>
      <c r="F14" s="36" t="n"/>
      <c r="G14" s="36" t="n"/>
    </row>
    <row r="15" ht="15" customHeight="1" s="27">
      <c r="A15" s="36" t="n"/>
      <c r="B15" s="36" t="n"/>
      <c r="C15" s="36" t="n"/>
      <c r="D15" s="38">
        <f>IF(AND(ISNUMBER(B15),ISNUMBER(C15)),C15-B15,"")</f>
        <v/>
      </c>
      <c r="E15" s="36" t="n"/>
      <c r="F15" s="36" t="n"/>
      <c r="G15" s="36" t="n"/>
    </row>
    <row r="16" ht="15" customHeight="1" s="27">
      <c r="A16" s="36" t="n"/>
      <c r="B16" s="36" t="n"/>
      <c r="C16" s="36" t="n"/>
      <c r="D16" s="38">
        <f>IF(AND(ISNUMBER(B16),ISNUMBER(C16)),C16-B16,"")</f>
        <v/>
      </c>
      <c r="E16" s="36" t="n"/>
      <c r="F16" s="36" t="n"/>
      <c r="G16" s="36" t="n"/>
    </row>
    <row r="17" ht="15" customHeight="1" s="27">
      <c r="A17" s="36" t="n"/>
      <c r="B17" s="36" t="n"/>
      <c r="C17" s="36" t="n"/>
      <c r="D17" s="38">
        <f>IF(AND(ISNUMBER(B17),ISNUMBER(C17)),C17-B17,"")</f>
        <v/>
      </c>
      <c r="E17" s="36" t="n"/>
      <c r="F17" s="36" t="n"/>
      <c r="G17" s="36" t="n"/>
    </row>
    <row r="18" ht="15" customHeight="1" s="27">
      <c r="A18" s="36" t="n"/>
      <c r="B18" s="36" t="n"/>
      <c r="C18" s="36" t="n"/>
      <c r="D18" s="38">
        <f>IF(AND(ISNUMBER(B18),ISNUMBER(C18)),C18-B18,"")</f>
        <v/>
      </c>
      <c r="E18" s="36" t="n"/>
      <c r="F18" s="36" t="n"/>
      <c r="G18" s="36" t="n"/>
    </row>
    <row r="19" ht="15" customHeight="1" s="27">
      <c r="A19" s="36" t="n"/>
      <c r="B19" s="36" t="n"/>
      <c r="C19" s="36" t="n"/>
      <c r="D19" s="38">
        <f>IF(AND(ISNUMBER(B19),ISNUMBER(C19)),C19-B19,"")</f>
        <v/>
      </c>
      <c r="E19" s="36" t="n"/>
      <c r="F19" s="36" t="n"/>
      <c r="G19" s="36" t="n"/>
    </row>
    <row r="20" ht="15" customHeight="1" s="27">
      <c r="A20" s="36" t="n"/>
      <c r="B20" s="36" t="n"/>
      <c r="C20" s="36" t="n"/>
      <c r="D20" s="38">
        <f>IF(AND(ISNUMBER(B20),ISNUMBER(C20)),C20-B20,"")</f>
        <v/>
      </c>
      <c r="E20" s="36" t="n"/>
      <c r="F20" s="36" t="n"/>
      <c r="G20" s="36" t="n"/>
    </row>
    <row r="21" ht="15" customHeight="1" s="27">
      <c r="A21" s="36" t="n"/>
      <c r="B21" s="36" t="n"/>
      <c r="C21" s="36" t="n"/>
      <c r="D21" s="38">
        <f>IF(AND(ISNUMBER(B21),ISNUMBER(C21)),C21-B21,"")</f>
        <v/>
      </c>
      <c r="E21" s="36" t="n"/>
      <c r="F21" s="36" t="n"/>
      <c r="G21" s="36" t="n"/>
    </row>
    <row r="22" ht="15" customHeight="1" s="27">
      <c r="A22" s="36" t="n"/>
      <c r="B22" s="36" t="n"/>
      <c r="C22" s="36" t="n"/>
      <c r="D22" s="38">
        <f>IF(AND(ISNUMBER(B22),ISNUMBER(C22)),C22-B22,"")</f>
        <v/>
      </c>
      <c r="E22" s="36" t="n"/>
      <c r="F22" s="36" t="n"/>
      <c r="G22" s="36" t="n"/>
    </row>
    <row r="23" ht="15" customHeight="1" s="27">
      <c r="A23" s="36" t="n"/>
      <c r="B23" s="36" t="n"/>
      <c r="C23" s="36" t="n"/>
      <c r="D23" s="38">
        <f>IF(AND(ISNUMBER(B23),ISNUMBER(C23)),C23-B23,"")</f>
        <v/>
      </c>
      <c r="E23" s="36" t="n"/>
      <c r="F23" s="36" t="n"/>
      <c r="G23" s="36" t="n"/>
    </row>
    <row r="24" ht="15" customHeight="1" s="27">
      <c r="A24" s="36" t="n"/>
      <c r="B24" s="36" t="n"/>
      <c r="C24" s="36" t="n"/>
      <c r="D24" s="38">
        <f>IF(AND(ISNUMBER(B24),ISNUMBER(C24)),C24-B24,"")</f>
        <v/>
      </c>
      <c r="E24" s="36" t="n"/>
      <c r="F24" s="36" t="n"/>
      <c r="G24" s="36" t="n"/>
    </row>
    <row r="25" ht="15" customHeight="1" s="27">
      <c r="A25" s="36" t="n"/>
      <c r="B25" s="36" t="n"/>
      <c r="C25" s="36" t="n"/>
      <c r="D25" s="38">
        <f>IF(AND(ISNUMBER(B25),ISNUMBER(C25)),C25-B25,"")</f>
        <v/>
      </c>
      <c r="E25" s="36" t="n"/>
      <c r="F25" s="36" t="n"/>
      <c r="G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</row>
  </sheetData>
  <mergeCells count="2">
    <mergeCell ref="A2:G2"/>
    <mergeCell ref="A1:G1"/>
  </mergeCells>
  <dataValidations count="1">
    <dataValidation sqref="E5:E25" showDropDown="0" showInputMessage="0" showErrorMessage="0" allowBlank="1" type="list" errorStyle="stop" operator="between">
      <formula1>"Green,Amber,Red"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