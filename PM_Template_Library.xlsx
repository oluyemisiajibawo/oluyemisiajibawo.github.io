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AID Log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Issue Log" sheetId="4" state="visible" r:id="rId4"/>
    <sheet xmlns:r="http://schemas.openxmlformats.org/officeDocument/2006/relationships" name="Stakeholder Register" sheetId="5" state="visible" r:id="rId5"/>
    <sheet xmlns:r="http://schemas.openxmlformats.org/officeDocument/2006/relationships" name="RACI Matrix" sheetId="6" state="visible" r:id="rId6"/>
    <sheet xmlns:r="http://schemas.openxmlformats.org/officeDocument/2006/relationships" name="Lessons Learned" sheetId="7" state="visible" r:id="rId7"/>
    <sheet xmlns:r="http://schemas.openxmlformats.org/officeDocument/2006/relationships" name="Action Log" sheetId="8" state="visible" r:id="rId8"/>
    <sheet xmlns:r="http://schemas.openxmlformats.org/officeDocument/2006/relationships" name="Decision Log" sheetId="9" state="visible" r:id="rId9"/>
    <sheet xmlns:r="http://schemas.openxmlformats.org/officeDocument/2006/relationships" name="Change Log" sheetId="10" state="visible" r:id="rId10"/>
    <sheet xmlns:r="http://schemas.openxmlformats.org/officeDocument/2006/relationships" name="WBS" sheetId="11" state="visible" r:id="rId11"/>
    <sheet xmlns:r="http://schemas.openxmlformats.org/officeDocument/2006/relationships" name="Milestone Tracker" sheetId="12" state="visible" r:id="rId12"/>
    <sheet xmlns:r="http://schemas.openxmlformats.org/officeDocument/2006/relationships" name="Kanban Board" sheetId="13" state="visible" r:id="rId13"/>
    <sheet xmlns:r="http://schemas.openxmlformats.org/officeDocument/2006/relationships" name="Status Report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26" customWidth="1" style="26" min="2" max="2"/>
    <col width="60" customWidth="1" style="26" min="3" max="3"/>
  </cols>
  <sheetData>
    <row r="1" ht="22.05" customHeight="1" s="27">
      <c r="A1" s="28" t="inlineStr">
        <is>
          <t>PROJECT MANAGEMENT TEMPLATE LIBRARY</t>
        </is>
      </c>
    </row>
    <row r="2" ht="15" customHeight="1" s="27">
      <c r="A2" s="29" t="inlineStr">
        <is>
          <t>Reusable PM control templates - RAID, registers, logs, WBS, Kanban, status reporting</t>
        </is>
      </c>
    </row>
    <row r="3"/>
    <row r="4" ht="15" customHeight="1" s="27">
      <c r="A4" s="30" t="inlineStr">
        <is>
          <t>#</t>
        </is>
      </c>
      <c r="B4" s="30" t="inlineStr">
        <is>
          <t>Template</t>
        </is>
      </c>
      <c r="C4" s="30" t="inlineStr">
        <is>
          <t>Purpose</t>
        </is>
      </c>
    </row>
    <row r="5" ht="15" customHeight="1" s="27">
      <c r="A5" s="31" t="n">
        <v>1</v>
      </c>
      <c r="B5" s="32" t="inlineStr">
        <is>
          <t>RAID Log</t>
        </is>
      </c>
      <c r="C5" s="31" t="inlineStr">
        <is>
          <t>Consolidated Risks, Assumptions, Issues, Dependencies</t>
        </is>
      </c>
    </row>
    <row r="6" ht="15" customHeight="1" s="27">
      <c r="A6" s="31" t="n">
        <v>2</v>
      </c>
      <c r="B6" s="32" t="inlineStr">
        <is>
          <t>Risk Register</t>
        </is>
      </c>
      <c r="C6" s="31" t="inlineStr">
        <is>
          <t>Detailed risk scoring with auto P×I severity</t>
        </is>
      </c>
    </row>
    <row r="7" ht="15" customHeight="1" s="27">
      <c r="A7" s="31" t="n">
        <v>3</v>
      </c>
      <c r="B7" s="32" t="inlineStr">
        <is>
          <t>Issue Log</t>
        </is>
      </c>
      <c r="C7" s="31" t="inlineStr">
        <is>
          <t>Live issue tracking with priority &amp; ownership</t>
        </is>
      </c>
    </row>
    <row r="8" ht="15" customHeight="1" s="27">
      <c r="A8" s="31" t="n">
        <v>4</v>
      </c>
      <c r="B8" s="32" t="inlineStr">
        <is>
          <t>Stakeholder Register</t>
        </is>
      </c>
      <c r="C8" s="31" t="inlineStr">
        <is>
          <t>Power/interest mapping &amp; engagement strategy</t>
        </is>
      </c>
    </row>
    <row r="9" ht="15" customHeight="1" s="27">
      <c r="A9" s="31" t="n">
        <v>5</v>
      </c>
      <c r="B9" s="32" t="inlineStr">
        <is>
          <t>RACI Matrix</t>
        </is>
      </c>
      <c r="C9" s="31" t="inlineStr">
        <is>
          <t>Responsibility assignment across deliverables</t>
        </is>
      </c>
    </row>
    <row r="10" ht="15" customHeight="1" s="27">
      <c r="A10" s="31" t="n">
        <v>6</v>
      </c>
      <c r="B10" s="32" t="inlineStr">
        <is>
          <t>Lessons Learned</t>
        </is>
      </c>
      <c r="C10" s="31" t="inlineStr">
        <is>
          <t>Capture &amp; categorise project learnings</t>
        </is>
      </c>
    </row>
    <row r="11" ht="15" customHeight="1" s="27">
      <c r="A11" s="31" t="n">
        <v>7</v>
      </c>
      <c r="B11" s="32" t="inlineStr">
        <is>
          <t>Action Log</t>
        </is>
      </c>
      <c r="C11" s="31" t="inlineStr">
        <is>
          <t>Action item tracking with due dates &amp; status</t>
        </is>
      </c>
    </row>
    <row r="12" ht="15" customHeight="1" s="27">
      <c r="A12" s="31" t="n">
        <v>8</v>
      </c>
      <c r="B12" s="32" t="inlineStr">
        <is>
          <t>Decision Log</t>
        </is>
      </c>
      <c r="C12" s="31" t="inlineStr">
        <is>
          <t>Record key decisions &amp; rationale</t>
        </is>
      </c>
    </row>
    <row r="13" ht="15" customHeight="1" s="27">
      <c r="A13" s="31" t="n">
        <v>9</v>
      </c>
      <c r="B13" s="32" t="inlineStr">
        <is>
          <t>Change Log</t>
        </is>
      </c>
      <c r="C13" s="31" t="inlineStr">
        <is>
          <t>Change request control with impact assessment</t>
        </is>
      </c>
    </row>
    <row r="14" ht="15" customHeight="1" s="27">
      <c r="A14" s="31" t="n">
        <v>10</v>
      </c>
      <c r="B14" s="32" t="inlineStr">
        <is>
          <t>WBS</t>
        </is>
      </c>
      <c r="C14" s="31" t="inlineStr">
        <is>
          <t>Work Breakdown Structure with phases &amp; packages</t>
        </is>
      </c>
    </row>
    <row r="15" ht="15" customHeight="1" s="27">
      <c r="A15" s="31" t="n">
        <v>11</v>
      </c>
      <c r="B15" s="32" t="inlineStr">
        <is>
          <t>Milestone Tracker</t>
        </is>
      </c>
      <c r="C15" s="31" t="inlineStr">
        <is>
          <t>Milestone schedule with RAG status</t>
        </is>
      </c>
    </row>
    <row r="16" ht="15" customHeight="1" s="27">
      <c r="A16" s="31" t="n">
        <v>12</v>
      </c>
      <c r="B16" s="32" t="inlineStr">
        <is>
          <t>Kanban Board</t>
        </is>
      </c>
      <c r="C16" s="31" t="inlineStr">
        <is>
          <t>Backlog / To Do / In Progress / Review / Done</t>
        </is>
      </c>
    </row>
    <row r="17" ht="15" customHeight="1" s="27">
      <c r="A17" s="31" t="n">
        <v>13</v>
      </c>
      <c r="B17" s="32" t="inlineStr">
        <is>
          <t>Status Report</t>
        </is>
      </c>
      <c r="C17" s="31" t="inlineStr">
        <is>
          <t>Weekly/period project status summary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3" customWidth="1" style="26" min="2" max="2"/>
    <col width="40" customWidth="1" style="26" min="3" max="3"/>
    <col width="10" customWidth="1" style="26" min="4" max="4"/>
    <col width="12" customWidth="1" style="26" min="5" max="5"/>
    <col width="13" customWidth="1" style="26" min="6" max="7"/>
    <col width="11" customWidth="1" style="26" min="8" max="8"/>
    <col width="42" customWidth="1" style="26" min="9" max="9"/>
  </cols>
  <sheetData>
    <row r="1" ht="21.75" customHeight="1" s="27">
      <c r="A1" s="33" t="inlineStr">
        <is>
          <t>RAID Log</t>
        </is>
      </c>
    </row>
    <row r="2" ht="15" customHeight="1" s="27">
      <c r="A2" s="34" t="inlineStr">
        <is>
          <t>Type = Risk / Assumption / Issue / Dependency. One consolidated control log.</t>
        </is>
      </c>
    </row>
    <row r="3"/>
    <row r="4" ht="15" customHeight="1" s="27">
      <c r="A4" s="30" t="inlineStr">
        <is>
          <t>ID</t>
        </is>
      </c>
      <c r="B4" s="30" t="inlineStr">
        <is>
          <t>Type</t>
        </is>
      </c>
      <c r="C4" s="30" t="inlineStr">
        <is>
          <t>Description</t>
        </is>
      </c>
      <c r="D4" s="30" t="inlineStr">
        <is>
          <t>Impact</t>
        </is>
      </c>
      <c r="E4" s="30" t="inlineStr">
        <is>
          <t>Owner</t>
        </is>
      </c>
      <c r="F4" s="30" t="inlineStr">
        <is>
          <t>Date Raised</t>
        </is>
      </c>
      <c r="G4" s="30" t="inlineStr">
        <is>
          <t>Target Date</t>
        </is>
      </c>
      <c r="H4" s="30" t="inlineStr">
        <is>
          <t>Status</t>
        </is>
      </c>
      <c r="I4" s="30" t="inlineStr">
        <is>
          <t>Mitigation / Action</t>
        </is>
      </c>
    </row>
    <row r="5" ht="23.85" customHeight="1" s="27">
      <c r="A5" s="35" t="inlineStr">
        <is>
          <t>RAID-001</t>
        </is>
      </c>
      <c r="B5" s="35" t="inlineStr">
        <is>
          <t>Risk</t>
        </is>
      </c>
      <c r="C5" s="35" t="inlineStr">
        <is>
          <t>Vendor delivery slippage on power equipment</t>
        </is>
      </c>
      <c r="D5" s="35" t="inlineStr">
        <is>
          <t>High</t>
        </is>
      </c>
      <c r="E5" s="35" t="inlineStr">
        <is>
          <t>PM</t>
        </is>
      </c>
      <c r="F5" s="35" t="inlineStr">
        <is>
          <t>2023-07-03</t>
        </is>
      </c>
      <c r="G5" s="35" t="inlineStr">
        <is>
          <t>2023-07-31</t>
        </is>
      </c>
      <c r="H5" s="35" t="inlineStr">
        <is>
          <t>Open</t>
        </is>
      </c>
      <c r="I5" s="35" t="inlineStr">
        <is>
          <t>Weekly vendor checkpoint; dual-source critical items</t>
        </is>
      </c>
    </row>
    <row r="6" ht="15" customHeight="1" s="27">
      <c r="A6" s="35" t="inlineStr">
        <is>
          <t>RAID-002</t>
        </is>
      </c>
      <c r="B6" s="35" t="inlineStr">
        <is>
          <t>Dependency</t>
        </is>
      </c>
      <c r="C6" s="35" t="inlineStr">
        <is>
          <t>Site readiness required before equipment install</t>
        </is>
      </c>
      <c r="D6" s="35" t="inlineStr">
        <is>
          <t>High</t>
        </is>
      </c>
      <c r="E6" s="35" t="inlineStr">
        <is>
          <t>Ops Lead</t>
        </is>
      </c>
      <c r="F6" s="35" t="inlineStr">
        <is>
          <t>2023-07-05</t>
        </is>
      </c>
      <c r="G6" s="35" t="inlineStr">
        <is>
          <t>2023-07-20</t>
        </is>
      </c>
      <c r="H6" s="35" t="inlineStr">
        <is>
          <t>Open</t>
        </is>
      </c>
      <c r="I6" s="35" t="inlineStr">
        <is>
          <t>Track site-ready date in milestone tracker</t>
        </is>
      </c>
    </row>
    <row r="7" ht="15" customHeight="1" s="27">
      <c r="A7" s="35" t="inlineStr">
        <is>
          <t>RAID-003</t>
        </is>
      </c>
      <c r="B7" s="35" t="inlineStr">
        <is>
          <t>Assumption</t>
        </is>
      </c>
      <c r="C7" s="35" t="inlineStr">
        <is>
          <t>Permits granted within 14 days of submission</t>
        </is>
      </c>
      <c r="D7" s="35" t="inlineStr">
        <is>
          <t>Medium</t>
        </is>
      </c>
      <c r="E7" s="35" t="inlineStr">
        <is>
          <t>PMO</t>
        </is>
      </c>
      <c r="F7" s="35" t="inlineStr">
        <is>
          <t>2023-07-01</t>
        </is>
      </c>
      <c r="G7" s="35" t="inlineStr">
        <is>
          <t>-</t>
        </is>
      </c>
      <c r="H7" s="35" t="inlineStr">
        <is>
          <t>Open</t>
        </is>
      </c>
      <c r="I7" s="35" t="inlineStr">
        <is>
          <t>Validate with regulatory team</t>
        </is>
      </c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</row>
  </sheetData>
  <mergeCells count="2">
    <mergeCell ref="A1:I1"/>
    <mergeCell ref="A2:I2"/>
  </mergeCells>
  <dataValidations count="3">
    <dataValidation sqref="B5:B40" showDropDown="0" showInputMessage="0" showErrorMessage="0" allowBlank="1" type="list" errorStyle="stop" operator="between">
      <formula1>"Risk,Assumption,Issue,Dependency"</formula1>
      <formula2>0</formula2>
    </dataValidation>
    <dataValidation sqref="H5:H40" showDropDown="0" showInputMessage="0" showErrorMessage="0" allowBlank="1" type="list" errorStyle="stop" operator="between">
      <formula1>"Open,In Progress,Closed,On Hold,Escalated"</formula1>
      <formula2>0</formula2>
    </dataValidation>
    <dataValidation sqref="D5:D40" showDropDown="0" showInputMessage="0" showErrorMessage="0" allowBlank="1" type="list" errorStyle="stop" operator="between">
      <formula1>"Low,Medium,High,Critical"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34" customWidth="1" style="26" min="2" max="2"/>
    <col width="13" customWidth="1" style="26" min="3" max="3"/>
    <col width="15" customWidth="1" style="26" min="4" max="4"/>
    <col width="12" customWidth="1" style="26" min="5" max="5"/>
    <col width="14" customWidth="1" style="26" min="6" max="6"/>
    <col width="15" customWidth="1" style="26" min="7" max="7"/>
    <col width="12" customWidth="1" style="26" min="8" max="8"/>
    <col width="16" customWidth="1" style="26" min="9" max="9"/>
    <col width="34" customWidth="1" style="26" min="10" max="10"/>
    <col width="11" customWidth="1" style="26" min="11" max="11"/>
  </cols>
  <sheetData>
    <row r="1" ht="21.75" customHeight="1" s="27">
      <c r="A1" s="33" t="inlineStr">
        <is>
          <t>Risk Register</t>
        </is>
      </c>
    </row>
    <row r="2" ht="15" customHeight="1" s="27">
      <c r="A2" s="34" t="inlineStr">
        <is>
          <t>Severity auto-calculates as Probability × Impact (1-5 scale). Score ≥15 = Critical.</t>
        </is>
      </c>
    </row>
    <row r="3"/>
    <row r="4" ht="26.85" customHeight="1" s="27">
      <c r="A4" s="30" t="inlineStr">
        <is>
          <t>Risk ID</t>
        </is>
      </c>
      <c r="B4" s="30" t="inlineStr">
        <is>
          <t>Risk Description</t>
        </is>
      </c>
      <c r="C4" s="30" t="inlineStr">
        <is>
          <t>Category</t>
        </is>
      </c>
      <c r="D4" s="30" t="inlineStr">
        <is>
          <t>Probability (1-5)</t>
        </is>
      </c>
      <c r="E4" s="30" t="inlineStr">
        <is>
          <t>Impact (1-5)</t>
        </is>
      </c>
      <c r="F4" s="30" t="inlineStr">
        <is>
          <t>Severity (P×I)</t>
        </is>
      </c>
      <c r="G4" s="30" t="inlineStr">
        <is>
          <t>Severity Band</t>
        </is>
      </c>
      <c r="H4" s="30" t="inlineStr">
        <is>
          <t>Owner</t>
        </is>
      </c>
      <c r="I4" s="30" t="inlineStr">
        <is>
          <t>Response Strategy</t>
        </is>
      </c>
      <c r="J4" s="30" t="inlineStr">
        <is>
          <t>Mitigation Actions</t>
        </is>
      </c>
      <c r="K4" s="30" t="inlineStr">
        <is>
          <t>Status</t>
        </is>
      </c>
    </row>
    <row r="5" ht="15" customHeight="1" s="27">
      <c r="A5" s="35" t="inlineStr">
        <is>
          <t>R-001</t>
        </is>
      </c>
      <c r="B5" s="35" t="inlineStr">
        <is>
          <t>Vendor delivery slippage</t>
        </is>
      </c>
      <c r="C5" s="35" t="inlineStr">
        <is>
          <t>Schedule</t>
        </is>
      </c>
      <c r="D5" s="35" t="n">
        <v>4</v>
      </c>
      <c r="E5" s="35" t="n">
        <v>4</v>
      </c>
      <c r="F5" s="37">
        <f>IF(AND(ISNUMBER(D5),ISNUMBER(E5)),D5*E5,"")</f>
        <v/>
      </c>
      <c r="G5" s="37">
        <f>IF(F5="","",IF(F5&gt;=15,"Critical",IF(F5&gt;=8,"High",IF(F5&gt;=4,"Medium","Low"))))</f>
        <v/>
      </c>
      <c r="H5" s="35" t="inlineStr">
        <is>
          <t>PM</t>
        </is>
      </c>
      <c r="I5" s="35" t="inlineStr">
        <is>
          <t>Mitigate</t>
        </is>
      </c>
      <c r="J5" s="35" t="inlineStr">
        <is>
          <t>Dual-source; weekly checkpoints</t>
        </is>
      </c>
      <c r="K5" s="35" t="inlineStr">
        <is>
          <t>Open</t>
        </is>
      </c>
    </row>
    <row r="6" ht="15" customHeight="1" s="27">
      <c r="A6" s="35" t="inlineStr">
        <is>
          <t>R-002</t>
        </is>
      </c>
      <c r="B6" s="35" t="inlineStr">
        <is>
          <t>Budget overrun on civil works</t>
        </is>
      </c>
      <c r="C6" s="35" t="inlineStr">
        <is>
          <t>Cost</t>
        </is>
      </c>
      <c r="D6" s="35" t="n">
        <v>3</v>
      </c>
      <c r="E6" s="35" t="n">
        <v>4</v>
      </c>
      <c r="F6" s="37">
        <f>IF(AND(ISNUMBER(D6),ISNUMBER(E6)),D6*E6,"")</f>
        <v/>
      </c>
      <c r="G6" s="37">
        <f>IF(F6="","",IF(F6&gt;=15,"Critical",IF(F6&gt;=8,"High",IF(F6&gt;=4,"Medium","Low"))))</f>
        <v/>
      </c>
      <c r="H6" s="35" t="inlineStr">
        <is>
          <t>Finance</t>
        </is>
      </c>
      <c r="I6" s="35" t="inlineStr">
        <is>
          <t>Mitigate</t>
        </is>
      </c>
      <c r="J6" s="35" t="inlineStr">
        <is>
          <t>Lock unit rates in contract</t>
        </is>
      </c>
      <c r="K6" s="35" t="inlineStr">
        <is>
          <t>Open</t>
        </is>
      </c>
    </row>
    <row r="7" ht="15" customHeight="1" s="27">
      <c r="A7" s="35" t="inlineStr">
        <is>
          <t>R-003</t>
        </is>
      </c>
      <c r="B7" s="35" t="inlineStr">
        <is>
          <t>Tower-climb safety incident</t>
        </is>
      </c>
      <c r="C7" s="35" t="inlineStr">
        <is>
          <t>HSE</t>
        </is>
      </c>
      <c r="D7" s="35" t="n">
        <v>2</v>
      </c>
      <c r="E7" s="35" t="n">
        <v>5</v>
      </c>
      <c r="F7" s="37">
        <f>IF(AND(ISNUMBER(D7),ISNUMBER(E7)),D7*E7,"")</f>
        <v/>
      </c>
      <c r="G7" s="37">
        <f>IF(F7="","",IF(F7&gt;=15,"Critical",IF(F7&gt;=8,"High",IF(F7&gt;=4,"Medium","Low"))))</f>
        <v/>
      </c>
      <c r="H7" s="35" t="inlineStr">
        <is>
          <t>EHS Lead</t>
        </is>
      </c>
      <c r="I7" s="35" t="inlineStr">
        <is>
          <t>Mitigate</t>
        </is>
      </c>
      <c r="J7" s="35" t="inlineStr">
        <is>
          <t>Mandatory training; PPE audits</t>
        </is>
      </c>
      <c r="K7" s="35" t="inlineStr">
        <is>
          <t>Open</t>
        </is>
      </c>
    </row>
    <row r="8" ht="15" customHeight="1" s="27">
      <c r="A8" s="36" t="n"/>
      <c r="B8" s="36" t="n"/>
      <c r="C8" s="36" t="n"/>
      <c r="D8" s="36" t="n"/>
      <c r="E8" s="36" t="n"/>
      <c r="F8" s="38">
        <f>IF(AND(ISNUMBER(D8),ISNUMBER(E8)),D8*E8,"")</f>
        <v/>
      </c>
      <c r="G8" s="38">
        <f>IF(F8="","",IF(F8&gt;=15,"Critical",IF(F8&gt;=8,"High",IF(F8&gt;=4,"Medium","Low"))))</f>
        <v/>
      </c>
      <c r="H8" s="36" t="n"/>
      <c r="I8" s="36" t="n"/>
      <c r="J8" s="36" t="n"/>
      <c r="K8" s="36" t="n"/>
    </row>
    <row r="9" ht="15" customHeight="1" s="27">
      <c r="A9" s="36" t="n"/>
      <c r="B9" s="36" t="n"/>
      <c r="C9" s="36" t="n"/>
      <c r="D9" s="36" t="n"/>
      <c r="E9" s="36" t="n"/>
      <c r="F9" s="38">
        <f>IF(AND(ISNUMBER(D9),ISNUMBER(E9)),D9*E9,"")</f>
        <v/>
      </c>
      <c r="G9" s="38">
        <f>IF(F9="","",IF(F9&gt;=15,"Critical",IF(F9&gt;=8,"High",IF(F9&gt;=4,"Medium","Low"))))</f>
        <v/>
      </c>
      <c r="H9" s="36" t="n"/>
      <c r="I9" s="36" t="n"/>
      <c r="J9" s="36" t="n"/>
      <c r="K9" s="36" t="n"/>
    </row>
    <row r="10" ht="15" customHeight="1" s="27">
      <c r="A10" s="36" t="n"/>
      <c r="B10" s="36" t="n"/>
      <c r="C10" s="36" t="n"/>
      <c r="D10" s="36" t="n"/>
      <c r="E10" s="36" t="n"/>
      <c r="F10" s="38">
        <f>IF(AND(ISNUMBER(D10),ISNUMBER(E10)),D10*E10,"")</f>
        <v/>
      </c>
      <c r="G10" s="38">
        <f>IF(F10="","",IF(F10&gt;=15,"Critical",IF(F10&gt;=8,"High",IF(F10&gt;=4,"Medium","Low"))))</f>
        <v/>
      </c>
      <c r="H10" s="36" t="n"/>
      <c r="I10" s="36" t="n"/>
      <c r="J10" s="36" t="n"/>
      <c r="K10" s="36" t="n"/>
    </row>
    <row r="11" ht="15" customHeight="1" s="27">
      <c r="A11" s="36" t="n"/>
      <c r="B11" s="36" t="n"/>
      <c r="C11" s="36" t="n"/>
      <c r="D11" s="36" t="n"/>
      <c r="E11" s="36" t="n"/>
      <c r="F11" s="38">
        <f>IF(AND(ISNUMBER(D11),ISNUMBER(E11)),D11*E11,"")</f>
        <v/>
      </c>
      <c r="G11" s="38">
        <f>IF(F11="","",IF(F11&gt;=15,"Critical",IF(F11&gt;=8,"High",IF(F11&gt;=4,"Medium","Low"))))</f>
        <v/>
      </c>
      <c r="H11" s="36" t="n"/>
      <c r="I11" s="36" t="n"/>
      <c r="J11" s="36" t="n"/>
      <c r="K11" s="36" t="n"/>
    </row>
    <row r="12" ht="15" customHeight="1" s="27">
      <c r="A12" s="36" t="n"/>
      <c r="B12" s="36" t="n"/>
      <c r="C12" s="36" t="n"/>
      <c r="D12" s="36" t="n"/>
      <c r="E12" s="36" t="n"/>
      <c r="F12" s="38">
        <f>IF(AND(ISNUMBER(D12),ISNUMBER(E12)),D12*E12,"")</f>
        <v/>
      </c>
      <c r="G12" s="38">
        <f>IF(F12="","",IF(F12&gt;=15,"Critical",IF(F12&gt;=8,"High",IF(F12&gt;=4,"Medium","Low"))))</f>
        <v/>
      </c>
      <c r="H12" s="36" t="n"/>
      <c r="I12" s="36" t="n"/>
      <c r="J12" s="36" t="n"/>
      <c r="K12" s="36" t="n"/>
    </row>
    <row r="13" ht="15" customHeight="1" s="27">
      <c r="A13" s="36" t="n"/>
      <c r="B13" s="36" t="n"/>
      <c r="C13" s="36" t="n"/>
      <c r="D13" s="36" t="n"/>
      <c r="E13" s="36" t="n"/>
      <c r="F13" s="38">
        <f>IF(AND(ISNUMBER(D13),ISNUMBER(E13)),D13*E13,"")</f>
        <v/>
      </c>
      <c r="G13" s="38">
        <f>IF(F13="","",IF(F13&gt;=15,"Critical",IF(F13&gt;=8,"High",IF(F13&gt;=4,"Medium","Low"))))</f>
        <v/>
      </c>
      <c r="H13" s="36" t="n"/>
      <c r="I13" s="36" t="n"/>
      <c r="J13" s="36" t="n"/>
      <c r="K13" s="36" t="n"/>
    </row>
    <row r="14" ht="15" customHeight="1" s="27">
      <c r="A14" s="36" t="n"/>
      <c r="B14" s="36" t="n"/>
      <c r="C14" s="36" t="n"/>
      <c r="D14" s="36" t="n"/>
      <c r="E14" s="36" t="n"/>
      <c r="F14" s="38">
        <f>IF(AND(ISNUMBER(D14),ISNUMBER(E14)),D14*E14,"")</f>
        <v/>
      </c>
      <c r="G14" s="38">
        <f>IF(F14="","",IF(F14&gt;=15,"Critical",IF(F14&gt;=8,"High",IF(F14&gt;=4,"Medium","Low"))))</f>
        <v/>
      </c>
      <c r="H14" s="36" t="n"/>
      <c r="I14" s="36" t="n"/>
      <c r="J14" s="36" t="n"/>
      <c r="K14" s="36" t="n"/>
    </row>
    <row r="15" ht="15" customHeight="1" s="27">
      <c r="A15" s="36" t="n"/>
      <c r="B15" s="36" t="n"/>
      <c r="C15" s="36" t="n"/>
      <c r="D15" s="36" t="n"/>
      <c r="E15" s="36" t="n"/>
      <c r="F15" s="38">
        <f>IF(AND(ISNUMBER(D15),ISNUMBER(E15)),D15*E15,"")</f>
        <v/>
      </c>
      <c r="G15" s="38">
        <f>IF(F15="","",IF(F15&gt;=15,"Critical",IF(F15&gt;=8,"High",IF(F15&gt;=4,"Medium","Low"))))</f>
        <v/>
      </c>
      <c r="H15" s="36" t="n"/>
      <c r="I15" s="36" t="n"/>
      <c r="J15" s="36" t="n"/>
      <c r="K15" s="36" t="n"/>
    </row>
    <row r="16" ht="15" customHeight="1" s="27">
      <c r="A16" s="36" t="n"/>
      <c r="B16" s="36" t="n"/>
      <c r="C16" s="36" t="n"/>
      <c r="D16" s="36" t="n"/>
      <c r="E16" s="36" t="n"/>
      <c r="F16" s="38">
        <f>IF(AND(ISNUMBER(D16),ISNUMBER(E16)),D16*E16,"")</f>
        <v/>
      </c>
      <c r="G16" s="38">
        <f>IF(F16="","",IF(F16&gt;=15,"Critical",IF(F16&gt;=8,"High",IF(F16&gt;=4,"Medium","Low"))))</f>
        <v/>
      </c>
      <c r="H16" s="36" t="n"/>
      <c r="I16" s="36" t="n"/>
      <c r="J16" s="36" t="n"/>
      <c r="K16" s="36" t="n"/>
    </row>
    <row r="17" ht="15" customHeight="1" s="27">
      <c r="A17" s="36" t="n"/>
      <c r="B17" s="36" t="n"/>
      <c r="C17" s="36" t="n"/>
      <c r="D17" s="36" t="n"/>
      <c r="E17" s="36" t="n"/>
      <c r="F17" s="38">
        <f>IF(AND(ISNUMBER(D17),ISNUMBER(E17)),D17*E17,"")</f>
        <v/>
      </c>
      <c r="G17" s="38">
        <f>IF(F17="","",IF(F17&gt;=15,"Critical",IF(F17&gt;=8,"High",IF(F17&gt;=4,"Medium","Low"))))</f>
        <v/>
      </c>
      <c r="H17" s="36" t="n"/>
      <c r="I17" s="36" t="n"/>
      <c r="J17" s="36" t="n"/>
      <c r="K17" s="36" t="n"/>
    </row>
    <row r="18" ht="15" customHeight="1" s="27">
      <c r="A18" s="36" t="n"/>
      <c r="B18" s="36" t="n"/>
      <c r="C18" s="36" t="n"/>
      <c r="D18" s="36" t="n"/>
      <c r="E18" s="36" t="n"/>
      <c r="F18" s="38">
        <f>IF(AND(ISNUMBER(D18),ISNUMBER(E18)),D18*E18,"")</f>
        <v/>
      </c>
      <c r="G18" s="38">
        <f>IF(F18="","",IF(F18&gt;=15,"Critical",IF(F18&gt;=8,"High",IF(F18&gt;=4,"Medium","Low"))))</f>
        <v/>
      </c>
      <c r="H18" s="36" t="n"/>
      <c r="I18" s="36" t="n"/>
      <c r="J18" s="36" t="n"/>
      <c r="K18" s="36" t="n"/>
    </row>
    <row r="19" ht="15" customHeight="1" s="27">
      <c r="A19" s="36" t="n"/>
      <c r="B19" s="36" t="n"/>
      <c r="C19" s="36" t="n"/>
      <c r="D19" s="36" t="n"/>
      <c r="E19" s="36" t="n"/>
      <c r="F19" s="38">
        <f>IF(AND(ISNUMBER(D19),ISNUMBER(E19)),D19*E19,"")</f>
        <v/>
      </c>
      <c r="G19" s="38">
        <f>IF(F19="","",IF(F19&gt;=15,"Critical",IF(F19&gt;=8,"High",IF(F19&gt;=4,"Medium","Low"))))</f>
        <v/>
      </c>
      <c r="H19" s="36" t="n"/>
      <c r="I19" s="36" t="n"/>
      <c r="J19" s="36" t="n"/>
      <c r="K19" s="36" t="n"/>
    </row>
    <row r="20" ht="15" customHeight="1" s="27">
      <c r="A20" s="36" t="n"/>
      <c r="B20" s="36" t="n"/>
      <c r="C20" s="36" t="n"/>
      <c r="D20" s="36" t="n"/>
      <c r="E20" s="36" t="n"/>
      <c r="F20" s="38">
        <f>IF(AND(ISNUMBER(D20),ISNUMBER(E20)),D20*E20,"")</f>
        <v/>
      </c>
      <c r="G20" s="38">
        <f>IF(F20="","",IF(F20&gt;=15,"Critical",IF(F20&gt;=8,"High",IF(F20&gt;=4,"Medium","Low"))))</f>
        <v/>
      </c>
      <c r="H20" s="36" t="n"/>
      <c r="I20" s="36" t="n"/>
      <c r="J20" s="36" t="n"/>
      <c r="K20" s="36" t="n"/>
    </row>
    <row r="21" ht="15" customHeight="1" s="27">
      <c r="A21" s="36" t="n"/>
      <c r="B21" s="36" t="n"/>
      <c r="C21" s="36" t="n"/>
      <c r="D21" s="36" t="n"/>
      <c r="E21" s="36" t="n"/>
      <c r="F21" s="38">
        <f>IF(AND(ISNUMBER(D21),ISNUMBER(E21)),D21*E21,"")</f>
        <v/>
      </c>
      <c r="G21" s="38">
        <f>IF(F21="","",IF(F21&gt;=15,"Critical",IF(F21&gt;=8,"High",IF(F21&gt;=4,"Medium","Low"))))</f>
        <v/>
      </c>
      <c r="H21" s="36" t="n"/>
      <c r="I21" s="36" t="n"/>
      <c r="J21" s="36" t="n"/>
      <c r="K21" s="36" t="n"/>
    </row>
    <row r="22" ht="15" customHeight="1" s="27">
      <c r="A22" s="36" t="n"/>
      <c r="B22" s="36" t="n"/>
      <c r="C22" s="36" t="n"/>
      <c r="D22" s="36" t="n"/>
      <c r="E22" s="36" t="n"/>
      <c r="F22" s="38">
        <f>IF(AND(ISNUMBER(D22),ISNUMBER(E22)),D22*E22,"")</f>
        <v/>
      </c>
      <c r="G22" s="38">
        <f>IF(F22="","",IF(F22&gt;=15,"Critical",IF(F22&gt;=8,"High",IF(F22&gt;=4,"Medium","Low"))))</f>
        <v/>
      </c>
      <c r="H22" s="36" t="n"/>
      <c r="I22" s="36" t="n"/>
      <c r="J22" s="36" t="n"/>
      <c r="K22" s="36" t="n"/>
    </row>
    <row r="23" ht="15" customHeight="1" s="27">
      <c r="A23" s="36" t="n"/>
      <c r="B23" s="36" t="n"/>
      <c r="C23" s="36" t="n"/>
      <c r="D23" s="36" t="n"/>
      <c r="E23" s="36" t="n"/>
      <c r="F23" s="38">
        <f>IF(AND(ISNUMBER(D23),ISNUMBER(E23)),D23*E23,"")</f>
        <v/>
      </c>
      <c r="G23" s="38">
        <f>IF(F23="","",IF(F23&gt;=15,"Critical",IF(F23&gt;=8,"High",IF(F23&gt;=4,"Medium","Low"))))</f>
        <v/>
      </c>
      <c r="H23" s="36" t="n"/>
      <c r="I23" s="36" t="n"/>
      <c r="J23" s="36" t="n"/>
      <c r="K23" s="36" t="n"/>
    </row>
    <row r="24" ht="15" customHeight="1" s="27">
      <c r="A24" s="36" t="n"/>
      <c r="B24" s="36" t="n"/>
      <c r="C24" s="36" t="n"/>
      <c r="D24" s="36" t="n"/>
      <c r="E24" s="36" t="n"/>
      <c r="F24" s="38">
        <f>IF(AND(ISNUMBER(D24),ISNUMBER(E24)),D24*E24,"")</f>
        <v/>
      </c>
      <c r="G24" s="38">
        <f>IF(F24="","",IF(F24&gt;=15,"Critical",IF(F24&gt;=8,"High",IF(F24&gt;=4,"Medium","Low"))))</f>
        <v/>
      </c>
      <c r="H24" s="36" t="n"/>
      <c r="I24" s="36" t="n"/>
      <c r="J24" s="36" t="n"/>
      <c r="K24" s="36" t="n"/>
    </row>
    <row r="25" ht="15" customHeight="1" s="27">
      <c r="A25" s="36" t="n"/>
      <c r="B25" s="36" t="n"/>
      <c r="C25" s="36" t="n"/>
      <c r="D25" s="36" t="n"/>
      <c r="E25" s="36" t="n"/>
      <c r="F25" s="38">
        <f>IF(AND(ISNUMBER(D25),ISNUMBER(E25)),D25*E25,"")</f>
        <v/>
      </c>
      <c r="G25" s="38">
        <f>IF(F25="","",IF(F25&gt;=15,"Critical",IF(F25&gt;=8,"High",IF(F25&gt;=4,"Medium","Low"))))</f>
        <v/>
      </c>
      <c r="H25" s="36" t="n"/>
      <c r="I25" s="36" t="n"/>
      <c r="J25" s="36" t="n"/>
      <c r="K25" s="36" t="n"/>
    </row>
    <row r="26" ht="15" customHeight="1" s="27">
      <c r="A26" s="36" t="n"/>
      <c r="B26" s="36" t="n"/>
      <c r="C26" s="36" t="n"/>
      <c r="D26" s="36" t="n"/>
      <c r="E26" s="36" t="n"/>
      <c r="F26" s="38">
        <f>IF(AND(ISNUMBER(D26),ISNUMBER(E26)),D26*E26,"")</f>
        <v/>
      </c>
      <c r="G26" s="38">
        <f>IF(F26="","",IF(F26&gt;=15,"Critical",IF(F26&gt;=8,"High",IF(F26&gt;=4,"Medium","Low"))))</f>
        <v/>
      </c>
      <c r="H26" s="36" t="n"/>
      <c r="I26" s="36" t="n"/>
      <c r="J26" s="36" t="n"/>
      <c r="K26" s="36" t="n"/>
    </row>
    <row r="27" ht="15" customHeight="1" s="27">
      <c r="A27" s="36" t="n"/>
      <c r="B27" s="36" t="n"/>
      <c r="C27" s="36" t="n"/>
      <c r="D27" s="36" t="n"/>
      <c r="E27" s="36" t="n"/>
      <c r="F27" s="38">
        <f>IF(AND(ISNUMBER(D27),ISNUMBER(E27)),D27*E27,"")</f>
        <v/>
      </c>
      <c r="G27" s="38">
        <f>IF(F27="","",IF(F27&gt;=15,"Critical",IF(F27&gt;=8,"High",IF(F27&gt;=4,"Medium","Low"))))</f>
        <v/>
      </c>
      <c r="H27" s="36" t="n"/>
      <c r="I27" s="36" t="n"/>
      <c r="J27" s="36" t="n"/>
      <c r="K27" s="36" t="n"/>
    </row>
  </sheetData>
  <mergeCells count="2">
    <mergeCell ref="A2:K2"/>
    <mergeCell ref="A1:K1"/>
  </mergeCells>
  <dataValidations count="3">
    <dataValidation sqref="D5:E27" showDropDown="0" showInputMessage="0" showErrorMessage="0" allowBlank="1" type="list" errorStyle="stop" operator="between">
      <formula1>"1,2,3,4,5"</formula1>
      <formula2>0</formula2>
    </dataValidation>
    <dataValidation sqref="K5:K27" showDropDown="0" showInputMessage="0" showErrorMessage="0" allowBlank="1" type="list" errorStyle="stop" operator="between">
      <formula1>"Open,Mitigating,Closed,Accepted,Escalated"</formula1>
      <formula2>0</formula2>
    </dataValidation>
    <dataValidation sqref="I5:I27" showDropDown="0" showInputMessage="0" showErrorMessage="0" allowBlank="1" type="list" errorStyle="stop" operator="between">
      <formula1>"Avoid,Mitigate,Transfer,Accept"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40" customWidth="1" style="26" min="2" max="2"/>
    <col width="11" customWidth="1" style="26" min="3" max="3"/>
    <col width="13" customWidth="1" style="26" min="4" max="6"/>
    <col width="12" customWidth="1" style="26" min="7" max="7"/>
    <col width="40" customWidth="1" style="26" min="8" max="8"/>
    <col width="13" customWidth="1" style="26" min="9" max="9"/>
  </cols>
  <sheetData>
    <row r="1" ht="21.75" customHeight="1" s="27">
      <c r="A1" s="33" t="inlineStr">
        <is>
          <t>Issue Log</t>
        </is>
      </c>
    </row>
    <row r="2" ht="15" customHeight="1" s="27">
      <c r="A2" s="34" t="inlineStr">
        <is>
          <t>Active issues (problems that have already occurred). Track priority, owner, resolution.</t>
        </is>
      </c>
    </row>
    <row r="3"/>
    <row r="4" ht="26.85" customHeight="1" s="27">
      <c r="A4" s="30" t="inlineStr">
        <is>
          <t>Issue ID</t>
        </is>
      </c>
      <c r="B4" s="30" t="inlineStr">
        <is>
          <t>Description</t>
        </is>
      </c>
      <c r="C4" s="30" t="inlineStr">
        <is>
          <t>Priority</t>
        </is>
      </c>
      <c r="D4" s="30" t="inlineStr">
        <is>
          <t>Raised By</t>
        </is>
      </c>
      <c r="E4" s="30" t="inlineStr">
        <is>
          <t>Date Raised</t>
        </is>
      </c>
      <c r="F4" s="30" t="inlineStr">
        <is>
          <t>Owner</t>
        </is>
      </c>
      <c r="G4" s="30" t="inlineStr">
        <is>
          <t>Status</t>
        </is>
      </c>
      <c r="H4" s="30" t="inlineStr">
        <is>
          <t>Resolution / Next Step</t>
        </is>
      </c>
      <c r="I4" s="30" t="inlineStr">
        <is>
          <t>Date Resolved</t>
        </is>
      </c>
    </row>
    <row r="5" ht="15" customHeight="1" s="27">
      <c r="A5" s="35" t="inlineStr">
        <is>
          <t>I-001</t>
        </is>
      </c>
      <c r="B5" s="35" t="inlineStr">
        <is>
          <t>Equipment delivered to wrong site</t>
        </is>
      </c>
      <c r="C5" s="35" t="inlineStr">
        <is>
          <t>High</t>
        </is>
      </c>
      <c r="D5" s="35" t="inlineStr">
        <is>
          <t>Site Eng</t>
        </is>
      </c>
      <c r="E5" s="35" t="inlineStr">
        <is>
          <t>2023-07-10</t>
        </is>
      </c>
      <c r="F5" s="35" t="inlineStr">
        <is>
          <t>Logistics</t>
        </is>
      </c>
      <c r="G5" s="35" t="inlineStr">
        <is>
          <t>Open</t>
        </is>
      </c>
      <c r="H5" s="35" t="inlineStr">
        <is>
          <t>Re-route to correct site; confirm GPS</t>
        </is>
      </c>
      <c r="I5" s="35" t="inlineStr">
        <is>
          <t>-</t>
        </is>
      </c>
    </row>
    <row r="6" ht="15" customHeight="1" s="27">
      <c r="A6" s="35" t="inlineStr">
        <is>
          <t>I-002</t>
        </is>
      </c>
      <c r="B6" s="35" t="inlineStr">
        <is>
          <t>Splicing delay awaiting OTDR result</t>
        </is>
      </c>
      <c r="C6" s="35" t="inlineStr">
        <is>
          <t>Medium</t>
        </is>
      </c>
      <c r="D6" s="35" t="inlineStr">
        <is>
          <t>Fiber Lead</t>
        </is>
      </c>
      <c r="E6" s="35" t="inlineStr">
        <is>
          <t>2023-07-12</t>
        </is>
      </c>
      <c r="F6" s="35" t="inlineStr">
        <is>
          <t>Vendor</t>
        </is>
      </c>
      <c r="G6" s="35" t="inlineStr">
        <is>
          <t>In Progress</t>
        </is>
      </c>
      <c r="H6" s="35" t="inlineStr">
        <is>
          <t>Escalate to vendor PM</t>
        </is>
      </c>
      <c r="I6" s="35" t="inlineStr">
        <is>
          <t>-</t>
        </is>
      </c>
    </row>
    <row r="7" ht="15" customHeight="1" s="27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</row>
  </sheetData>
  <mergeCells count="2">
    <mergeCell ref="A1:I1"/>
    <mergeCell ref="A2:I2"/>
  </mergeCells>
  <dataValidations count="2">
    <dataValidation sqref="C5:C40" showDropDown="0" showInputMessage="0" showErrorMessage="0" allowBlank="1" type="list" errorStyle="stop" operator="between">
      <formula1>"Low,Medium,High,Critical"</formula1>
      <formula2>0</formula2>
    </dataValidation>
    <dataValidation sqref="G5:G40" showDropDown="0" showInputMessage="0" showErrorMessage="0" allowBlank="1" type="list" errorStyle="stop" operator="between">
      <formula1>"Open,In Progress,Resolved,Closed,Escalated"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26" customWidth="1" style="26" min="2" max="2"/>
    <col width="18" customWidth="1" style="26" min="3" max="3"/>
    <col width="12" customWidth="1" style="26" min="4" max="5"/>
    <col width="30" customWidth="1" style="26" min="6" max="6"/>
    <col width="34" customWidth="1" style="26" min="7" max="7"/>
    <col width="15" customWidth="1" style="26" min="8" max="8"/>
    <col width="10" customWidth="1" style="26" min="9" max="9"/>
  </cols>
  <sheetData>
    <row r="1" ht="21.75" customHeight="1" s="27">
      <c r="A1" s="33" t="inlineStr">
        <is>
          <t>Stakeholder Register</t>
        </is>
      </c>
    </row>
    <row r="2" ht="15" customHeight="1" s="27">
      <c r="A2" s="34" t="inlineStr">
        <is>
          <t>Power/Interest grid drives engagement strategy. Quadrant auto-suggests approach.</t>
        </is>
      </c>
    </row>
    <row r="3"/>
    <row r="4" ht="26.85" customHeight="1" s="27">
      <c r="A4" s="30" t="inlineStr">
        <is>
          <t>ID</t>
        </is>
      </c>
      <c r="B4" s="30" t="inlineStr">
        <is>
          <t>Stakeholder / Role</t>
        </is>
      </c>
      <c r="C4" s="30" t="inlineStr">
        <is>
          <t>Organisation</t>
        </is>
      </c>
      <c r="D4" s="30" t="inlineStr">
        <is>
          <t>Power (1-5)</t>
        </is>
      </c>
      <c r="E4" s="30" t="inlineStr">
        <is>
          <t>Interest (1-5)</t>
        </is>
      </c>
      <c r="F4" s="30" t="inlineStr">
        <is>
          <t>Quadrant Strategy</t>
        </is>
      </c>
      <c r="G4" s="30" t="inlineStr">
        <is>
          <t>Engagement Approach</t>
        </is>
      </c>
      <c r="H4" s="30" t="inlineStr">
        <is>
          <t>Comms Frequency</t>
        </is>
      </c>
      <c r="I4" s="30" t="inlineStr">
        <is>
          <t>Owner</t>
        </is>
      </c>
    </row>
    <row r="5" ht="15" customHeight="1" s="27">
      <c r="A5" s="35" t="inlineStr">
        <is>
          <t>S-001</t>
        </is>
      </c>
      <c r="B5" s="35" t="inlineStr">
        <is>
          <t>Programme Sponsor</t>
        </is>
      </c>
      <c r="C5" s="35" t="inlineStr">
        <is>
          <t>[Organization]</t>
        </is>
      </c>
      <c r="D5" s="35" t="n">
        <v>5</v>
      </c>
      <c r="E5" s="35" t="n">
        <v>5</v>
      </c>
      <c r="F5" s="37">
        <f>IF(AND(ISNUMBER(D5),ISNUMBER(E5)),IF(AND(D5&gt;=3,E5&gt;=3),"Manage Closely",IF(AND(D5&gt;=3,E5&lt;3),"Keep Satisfied",IF(AND(D5&lt;3,E5&gt;=3),"Keep Informed","Monitor"))),"")</f>
        <v/>
      </c>
      <c r="G5" s="35" t="inlineStr">
        <is>
          <t>Manage Closely - co-decision</t>
        </is>
      </c>
      <c r="H5" s="35" t="inlineStr">
        <is>
          <t>Weekly</t>
        </is>
      </c>
      <c r="I5" s="35" t="inlineStr">
        <is>
          <t>PM</t>
        </is>
      </c>
    </row>
    <row r="6" ht="15" customHeight="1" s="27">
      <c r="A6" s="35" t="inlineStr">
        <is>
          <t>S-002</t>
        </is>
      </c>
      <c r="B6" s="35" t="inlineStr">
        <is>
          <t>Regulatory Body</t>
        </is>
      </c>
      <c r="C6" s="35" t="inlineStr">
        <is>
          <t>Government</t>
        </is>
      </c>
      <c r="D6" s="35" t="n">
        <v>4</v>
      </c>
      <c r="E6" s="35" t="n">
        <v>2</v>
      </c>
      <c r="F6" s="37">
        <f>IF(AND(ISNUMBER(D6),ISNUMBER(E6)),IF(AND(D6&gt;=3,E6&gt;=3),"Manage Closely",IF(AND(D6&gt;=3,E6&lt;3),"Keep Satisfied",IF(AND(D6&lt;3,E6&gt;=3),"Keep Informed","Monitor"))),"")</f>
        <v/>
      </c>
      <c r="G6" s="35" t="inlineStr">
        <is>
          <t>Keep Satisfied - formal updates</t>
        </is>
      </c>
      <c r="H6" s="35" t="inlineStr">
        <is>
          <t>Monthly</t>
        </is>
      </c>
      <c r="I6" s="35" t="inlineStr">
        <is>
          <t>PMO</t>
        </is>
      </c>
    </row>
    <row r="7" ht="15" customHeight="1" s="27">
      <c r="A7" s="35" t="inlineStr">
        <is>
          <t>S-003</t>
        </is>
      </c>
      <c r="B7" s="35" t="inlineStr">
        <is>
          <t>Field Technicians</t>
        </is>
      </c>
      <c r="C7" s="35" t="inlineStr">
        <is>
          <t>[Vendor]</t>
        </is>
      </c>
      <c r="D7" s="35" t="n">
        <v>2</v>
      </c>
      <c r="E7" s="35" t="n">
        <v>4</v>
      </c>
      <c r="F7" s="37">
        <f>IF(AND(ISNUMBER(D7),ISNUMBER(E7)),IF(AND(D7&gt;=3,E7&gt;=3),"Manage Closely",IF(AND(D7&gt;=3,E7&lt;3),"Keep Satisfied",IF(AND(D7&lt;3,E7&gt;=3),"Keep Informed","Monitor"))),"")</f>
        <v/>
      </c>
      <c r="G7" s="35" t="inlineStr">
        <is>
          <t>Keep Informed - briefings</t>
        </is>
      </c>
      <c r="H7" s="35" t="inlineStr">
        <is>
          <t>Weekly</t>
        </is>
      </c>
      <c r="I7" s="35" t="inlineStr">
        <is>
          <t>Ops Lead</t>
        </is>
      </c>
    </row>
    <row r="8" ht="15" customHeight="1" s="27">
      <c r="A8" s="36" t="n"/>
      <c r="B8" s="36" t="n"/>
      <c r="C8" s="36" t="n"/>
      <c r="D8" s="36" t="n"/>
      <c r="E8" s="36" t="n"/>
      <c r="F8" s="38">
        <f>IF(AND(ISNUMBER(D8),ISNUMBER(E8)),IF(AND(D8&gt;=3,E8&gt;=3),"Manage Closely",IF(AND(D8&gt;=3,E8&lt;3),"Keep Satisfied",IF(AND(D8&lt;3,E8&gt;=3),"Keep Informed","Monitor"))),"")</f>
        <v/>
      </c>
      <c r="G8" s="36" t="n"/>
      <c r="H8" s="36" t="n"/>
      <c r="I8" s="36" t="n"/>
    </row>
    <row r="9" ht="15" customHeight="1" s="27">
      <c r="A9" s="36" t="n"/>
      <c r="B9" s="36" t="n"/>
      <c r="C9" s="36" t="n"/>
      <c r="D9" s="36" t="n"/>
      <c r="E9" s="36" t="n"/>
      <c r="F9" s="38">
        <f>IF(AND(ISNUMBER(D9),ISNUMBER(E9)),IF(AND(D9&gt;=3,E9&gt;=3),"Manage Closely",IF(AND(D9&gt;=3,E9&lt;3),"Keep Satisfied",IF(AND(D9&lt;3,E9&gt;=3),"Keep Informed","Monitor"))),"")</f>
        <v/>
      </c>
      <c r="G9" s="36" t="n"/>
      <c r="H9" s="36" t="n"/>
      <c r="I9" s="36" t="n"/>
    </row>
    <row r="10" ht="15" customHeight="1" s="27">
      <c r="A10" s="36" t="n"/>
      <c r="B10" s="36" t="n"/>
      <c r="C10" s="36" t="n"/>
      <c r="D10" s="36" t="n"/>
      <c r="E10" s="36" t="n"/>
      <c r="F10" s="38">
        <f>IF(AND(ISNUMBER(D10),ISNUMBER(E10)),IF(AND(D10&gt;=3,E10&gt;=3),"Manage Closely",IF(AND(D10&gt;=3,E10&lt;3),"Keep Satisfied",IF(AND(D10&lt;3,E10&gt;=3),"Keep Informed","Monitor"))),"")</f>
        <v/>
      </c>
      <c r="G10" s="36" t="n"/>
      <c r="H10" s="36" t="n"/>
      <c r="I10" s="36" t="n"/>
    </row>
    <row r="11" ht="15" customHeight="1" s="27">
      <c r="A11" s="36" t="n"/>
      <c r="B11" s="36" t="n"/>
      <c r="C11" s="36" t="n"/>
      <c r="D11" s="36" t="n"/>
      <c r="E11" s="36" t="n"/>
      <c r="F11" s="38">
        <f>IF(AND(ISNUMBER(D11),ISNUMBER(E11)),IF(AND(D11&gt;=3,E11&gt;=3),"Manage Closely",IF(AND(D11&gt;=3,E11&lt;3),"Keep Satisfied",IF(AND(D11&lt;3,E11&gt;=3),"Keep Informed","Monitor"))),"")</f>
        <v/>
      </c>
      <c r="G11" s="36" t="n"/>
      <c r="H11" s="36" t="n"/>
      <c r="I11" s="36" t="n"/>
    </row>
    <row r="12" ht="15" customHeight="1" s="27">
      <c r="A12" s="36" t="n"/>
      <c r="B12" s="36" t="n"/>
      <c r="C12" s="36" t="n"/>
      <c r="D12" s="36" t="n"/>
      <c r="E12" s="36" t="n"/>
      <c r="F12" s="38">
        <f>IF(AND(ISNUMBER(D12),ISNUMBER(E12)),IF(AND(D12&gt;=3,E12&gt;=3),"Manage Closely",IF(AND(D12&gt;=3,E12&lt;3),"Keep Satisfied",IF(AND(D12&lt;3,E12&gt;=3),"Keep Informed","Monitor"))),"")</f>
        <v/>
      </c>
      <c r="G12" s="36" t="n"/>
      <c r="H12" s="36" t="n"/>
      <c r="I12" s="36" t="n"/>
    </row>
    <row r="13" ht="15" customHeight="1" s="27">
      <c r="A13" s="36" t="n"/>
      <c r="B13" s="36" t="n"/>
      <c r="C13" s="36" t="n"/>
      <c r="D13" s="36" t="n"/>
      <c r="E13" s="36" t="n"/>
      <c r="F13" s="38">
        <f>IF(AND(ISNUMBER(D13),ISNUMBER(E13)),IF(AND(D13&gt;=3,E13&gt;=3),"Manage Closely",IF(AND(D13&gt;=3,E13&lt;3),"Keep Satisfied",IF(AND(D13&lt;3,E13&gt;=3),"Keep Informed","Monitor"))),"")</f>
        <v/>
      </c>
      <c r="G13" s="36" t="n"/>
      <c r="H13" s="36" t="n"/>
      <c r="I13" s="36" t="n"/>
    </row>
    <row r="14" ht="15" customHeight="1" s="27">
      <c r="A14" s="36" t="n"/>
      <c r="B14" s="36" t="n"/>
      <c r="C14" s="36" t="n"/>
      <c r="D14" s="36" t="n"/>
      <c r="E14" s="36" t="n"/>
      <c r="F14" s="38">
        <f>IF(AND(ISNUMBER(D14),ISNUMBER(E14)),IF(AND(D14&gt;=3,E14&gt;=3),"Manage Closely",IF(AND(D14&gt;=3,E14&lt;3),"Keep Satisfied",IF(AND(D14&lt;3,E14&gt;=3),"Keep Informed","Monitor"))),"")</f>
        <v/>
      </c>
      <c r="G14" s="36" t="n"/>
      <c r="H14" s="36" t="n"/>
      <c r="I14" s="36" t="n"/>
    </row>
    <row r="15" ht="15" customHeight="1" s="27">
      <c r="A15" s="36" t="n"/>
      <c r="B15" s="36" t="n"/>
      <c r="C15" s="36" t="n"/>
      <c r="D15" s="36" t="n"/>
      <c r="E15" s="36" t="n"/>
      <c r="F15" s="38">
        <f>IF(AND(ISNUMBER(D15),ISNUMBER(E15)),IF(AND(D15&gt;=3,E15&gt;=3),"Manage Closely",IF(AND(D15&gt;=3,E15&lt;3),"Keep Satisfied",IF(AND(D15&lt;3,E15&gt;=3),"Keep Informed","Monitor"))),"")</f>
        <v/>
      </c>
      <c r="G15" s="36" t="n"/>
      <c r="H15" s="36" t="n"/>
      <c r="I15" s="36" t="n"/>
    </row>
    <row r="16" ht="15" customHeight="1" s="27">
      <c r="A16" s="36" t="n"/>
      <c r="B16" s="36" t="n"/>
      <c r="C16" s="36" t="n"/>
      <c r="D16" s="36" t="n"/>
      <c r="E16" s="36" t="n"/>
      <c r="F16" s="38">
        <f>IF(AND(ISNUMBER(D16),ISNUMBER(E16)),IF(AND(D16&gt;=3,E16&gt;=3),"Manage Closely",IF(AND(D16&gt;=3,E16&lt;3),"Keep Satisfied",IF(AND(D16&lt;3,E16&gt;=3),"Keep Informed","Monitor"))),"")</f>
        <v/>
      </c>
      <c r="G16" s="36" t="n"/>
      <c r="H16" s="36" t="n"/>
      <c r="I16" s="36" t="n"/>
    </row>
    <row r="17" ht="15" customHeight="1" s="27">
      <c r="A17" s="36" t="n"/>
      <c r="B17" s="36" t="n"/>
      <c r="C17" s="36" t="n"/>
      <c r="D17" s="36" t="n"/>
      <c r="E17" s="36" t="n"/>
      <c r="F17" s="38">
        <f>IF(AND(ISNUMBER(D17),ISNUMBER(E17)),IF(AND(D17&gt;=3,E17&gt;=3),"Manage Closely",IF(AND(D17&gt;=3,E17&lt;3),"Keep Satisfied",IF(AND(D17&lt;3,E17&gt;=3),"Keep Informed","Monitor"))),"")</f>
        <v/>
      </c>
      <c r="G17" s="36" t="n"/>
      <c r="H17" s="36" t="n"/>
      <c r="I17" s="36" t="n"/>
    </row>
    <row r="18" ht="15" customHeight="1" s="27">
      <c r="A18" s="36" t="n"/>
      <c r="B18" s="36" t="n"/>
      <c r="C18" s="36" t="n"/>
      <c r="D18" s="36" t="n"/>
      <c r="E18" s="36" t="n"/>
      <c r="F18" s="38">
        <f>IF(AND(ISNUMBER(D18),ISNUMBER(E18)),IF(AND(D18&gt;=3,E18&gt;=3),"Manage Closely",IF(AND(D18&gt;=3,E18&lt;3),"Keep Satisfied",IF(AND(D18&lt;3,E18&gt;=3),"Keep Informed","Monitor"))),"")</f>
        <v/>
      </c>
      <c r="G18" s="36" t="n"/>
      <c r="H18" s="36" t="n"/>
      <c r="I18" s="36" t="n"/>
    </row>
    <row r="19" ht="15" customHeight="1" s="27">
      <c r="A19" s="36" t="n"/>
      <c r="B19" s="36" t="n"/>
      <c r="C19" s="36" t="n"/>
      <c r="D19" s="36" t="n"/>
      <c r="E19" s="36" t="n"/>
      <c r="F19" s="38">
        <f>IF(AND(ISNUMBER(D19),ISNUMBER(E19)),IF(AND(D19&gt;=3,E19&gt;=3),"Manage Closely",IF(AND(D19&gt;=3,E19&lt;3),"Keep Satisfied",IF(AND(D19&lt;3,E19&gt;=3),"Keep Informed","Monitor"))),"")</f>
        <v/>
      </c>
      <c r="G19" s="36" t="n"/>
      <c r="H19" s="36" t="n"/>
      <c r="I19" s="36" t="n"/>
    </row>
    <row r="20" ht="15" customHeight="1" s="27">
      <c r="A20" s="36" t="n"/>
      <c r="B20" s="36" t="n"/>
      <c r="C20" s="36" t="n"/>
      <c r="D20" s="36" t="n"/>
      <c r="E20" s="36" t="n"/>
      <c r="F20" s="38">
        <f>IF(AND(ISNUMBER(D20),ISNUMBER(E20)),IF(AND(D20&gt;=3,E20&gt;=3),"Manage Closely",IF(AND(D20&gt;=3,E20&lt;3),"Keep Satisfied",IF(AND(D20&lt;3,E20&gt;=3),"Keep Informed","Monitor"))),"")</f>
        <v/>
      </c>
      <c r="G20" s="36" t="n"/>
      <c r="H20" s="36" t="n"/>
      <c r="I20" s="36" t="n"/>
    </row>
    <row r="21" ht="15" customHeight="1" s="27">
      <c r="A21" s="36" t="n"/>
      <c r="B21" s="36" t="n"/>
      <c r="C21" s="36" t="n"/>
      <c r="D21" s="36" t="n"/>
      <c r="E21" s="36" t="n"/>
      <c r="F21" s="38">
        <f>IF(AND(ISNUMBER(D21),ISNUMBER(E21)),IF(AND(D21&gt;=3,E21&gt;=3),"Manage Closely",IF(AND(D21&gt;=3,E21&lt;3),"Keep Satisfied",IF(AND(D21&lt;3,E21&gt;=3),"Keep Informed","Monitor"))),"")</f>
        <v/>
      </c>
      <c r="G21" s="36" t="n"/>
      <c r="H21" s="36" t="n"/>
      <c r="I21" s="36" t="n"/>
    </row>
    <row r="22" ht="15" customHeight="1" s="27">
      <c r="A22" s="36" t="n"/>
      <c r="B22" s="36" t="n"/>
      <c r="C22" s="36" t="n"/>
      <c r="D22" s="36" t="n"/>
      <c r="E22" s="36" t="n"/>
      <c r="F22" s="38">
        <f>IF(AND(ISNUMBER(D22),ISNUMBER(E22)),IF(AND(D22&gt;=3,E22&gt;=3),"Manage Closely",IF(AND(D22&gt;=3,E22&lt;3),"Keep Satisfied",IF(AND(D22&lt;3,E22&gt;=3),"Keep Informed","Monitor"))),"")</f>
        <v/>
      </c>
      <c r="G22" s="36" t="n"/>
      <c r="H22" s="36" t="n"/>
      <c r="I22" s="36" t="n"/>
    </row>
    <row r="23" ht="15" customHeight="1" s="27">
      <c r="A23" s="36" t="n"/>
      <c r="B23" s="36" t="n"/>
      <c r="C23" s="36" t="n"/>
      <c r="D23" s="36" t="n"/>
      <c r="E23" s="36" t="n"/>
      <c r="F23" s="38">
        <f>IF(AND(ISNUMBER(D23),ISNUMBER(E23)),IF(AND(D23&gt;=3,E23&gt;=3),"Manage Closely",IF(AND(D23&gt;=3,E23&lt;3),"Keep Satisfied",IF(AND(D23&lt;3,E23&gt;=3),"Keep Informed","Monitor"))),"")</f>
        <v/>
      </c>
      <c r="G23" s="36" t="n"/>
      <c r="H23" s="36" t="n"/>
      <c r="I23" s="36" t="n"/>
    </row>
    <row r="24" ht="15" customHeight="1" s="27">
      <c r="A24" s="36" t="n"/>
      <c r="B24" s="36" t="n"/>
      <c r="C24" s="36" t="n"/>
      <c r="D24" s="36" t="n"/>
      <c r="E24" s="36" t="n"/>
      <c r="F24" s="38">
        <f>IF(AND(ISNUMBER(D24),ISNUMBER(E24)),IF(AND(D24&gt;=3,E24&gt;=3),"Manage Closely",IF(AND(D24&gt;=3,E24&lt;3),"Keep Satisfied",IF(AND(D24&lt;3,E24&gt;=3),"Keep Informed","Monitor"))),"")</f>
        <v/>
      </c>
      <c r="G24" s="36" t="n"/>
      <c r="H24" s="36" t="n"/>
      <c r="I24" s="36" t="n"/>
    </row>
    <row r="25" ht="15" customHeight="1" s="27">
      <c r="A25" s="36" t="n"/>
      <c r="B25" s="36" t="n"/>
      <c r="C25" s="36" t="n"/>
      <c r="D25" s="36" t="n"/>
      <c r="E25" s="36" t="n"/>
      <c r="F25" s="38">
        <f>IF(AND(ISNUMBER(D25),ISNUMBER(E25)),IF(AND(D25&gt;=3,E25&gt;=3),"Manage Closely",IF(AND(D25&gt;=3,E25&lt;3),"Keep Satisfied",IF(AND(D25&lt;3,E25&gt;=3),"Keep Informed","Monitor"))),"")</f>
        <v/>
      </c>
      <c r="G25" s="36" t="n"/>
      <c r="H25" s="36" t="n"/>
      <c r="I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</row>
  </sheetData>
  <mergeCells count="2">
    <mergeCell ref="A1:I1"/>
    <mergeCell ref="A2:I2"/>
  </mergeCells>
  <dataValidations count="1">
    <dataValidation sqref="D5:E25" showDropDown="0" showInputMessage="0" showErrorMessage="0" allowBlank="1" type="list" errorStyle="stop" operator="between">
      <formula1>"1,2,3,4,5"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26" min="1" max="1"/>
    <col width="15" customWidth="1" style="26" min="2" max="2"/>
    <col width="12" customWidth="1" style="26" min="3" max="7"/>
    <col width="10" customWidth="1" style="26" min="8" max="8"/>
  </cols>
  <sheetData>
    <row r="1" ht="21.75" customHeight="1" s="27">
      <c r="A1" s="33" t="inlineStr">
        <is>
          <t>RACI Matrix</t>
        </is>
      </c>
    </row>
    <row r="2" ht="15" customHeight="1" s="27">
      <c r="A2" s="34" t="inlineStr">
        <is>
          <t>R=Responsible  A=Accountable  C=Consulted  I=Informed. One A per row.</t>
        </is>
      </c>
    </row>
    <row r="3"/>
    <row r="4" ht="26.85" customHeight="1" s="27">
      <c r="A4" s="30" t="inlineStr">
        <is>
          <t>Deliverable / Activity</t>
        </is>
      </c>
      <c r="B4" s="30" t="inlineStr">
        <is>
          <t>Project Manager</t>
        </is>
      </c>
      <c r="C4" s="30" t="inlineStr">
        <is>
          <t>Sponsor</t>
        </is>
      </c>
      <c r="D4" s="30" t="inlineStr">
        <is>
          <t>Ops Lead</t>
        </is>
      </c>
      <c r="E4" s="30" t="inlineStr">
        <is>
          <t>EHS Lead</t>
        </is>
      </c>
      <c r="F4" s="30" t="inlineStr">
        <is>
          <t>Vendor</t>
        </is>
      </c>
      <c r="G4" s="30" t="inlineStr">
        <is>
          <t>Finance</t>
        </is>
      </c>
      <c r="H4" s="30" t="inlineStr">
        <is>
          <t>PMO</t>
        </is>
      </c>
    </row>
    <row r="5" ht="15" customHeight="1" s="27">
      <c r="A5" s="35" t="inlineStr">
        <is>
          <t>Project charter approval</t>
        </is>
      </c>
      <c r="B5" s="35" t="inlineStr">
        <is>
          <t>R</t>
        </is>
      </c>
      <c r="C5" s="35" t="inlineStr">
        <is>
          <t>A</t>
        </is>
      </c>
      <c r="D5" s="35" t="inlineStr">
        <is>
          <t>C</t>
        </is>
      </c>
      <c r="E5" s="35" t="inlineStr">
        <is>
          <t>I</t>
        </is>
      </c>
      <c r="F5" s="35" t="inlineStr">
        <is>
          <t>I</t>
        </is>
      </c>
      <c r="G5" s="35" t="inlineStr">
        <is>
          <t>C</t>
        </is>
      </c>
      <c r="H5" s="35" t="inlineStr">
        <is>
          <t>C</t>
        </is>
      </c>
    </row>
    <row r="6" ht="15" customHeight="1" s="27">
      <c r="A6" s="35" t="inlineStr">
        <is>
          <t>Site readiness sign-off</t>
        </is>
      </c>
      <c r="B6" s="35" t="inlineStr">
        <is>
          <t>A</t>
        </is>
      </c>
      <c r="C6" s="35" t="inlineStr">
        <is>
          <t>I</t>
        </is>
      </c>
      <c r="D6" s="35" t="inlineStr">
        <is>
          <t>R</t>
        </is>
      </c>
      <c r="E6" s="35" t="inlineStr">
        <is>
          <t>C</t>
        </is>
      </c>
      <c r="F6" s="35" t="inlineStr">
        <is>
          <t>C</t>
        </is>
      </c>
      <c r="G6" s="35" t="inlineStr">
        <is>
          <t>I</t>
        </is>
      </c>
      <c r="H6" s="35" t="inlineStr">
        <is>
          <t>I</t>
        </is>
      </c>
    </row>
    <row r="7" ht="15" customHeight="1" s="27">
      <c r="A7" s="35" t="inlineStr">
        <is>
          <t>Risk register maintenance</t>
        </is>
      </c>
      <c r="B7" s="35" t="inlineStr">
        <is>
          <t>A</t>
        </is>
      </c>
      <c r="C7" s="35" t="inlineStr">
        <is>
          <t>I</t>
        </is>
      </c>
      <c r="D7" s="35" t="inlineStr">
        <is>
          <t>C</t>
        </is>
      </c>
      <c r="E7" s="35" t="inlineStr">
        <is>
          <t>C</t>
        </is>
      </c>
      <c r="F7" s="35" t="inlineStr">
        <is>
          <t>I</t>
        </is>
      </c>
      <c r="G7" s="35" t="inlineStr">
        <is>
          <t>I</t>
        </is>
      </c>
      <c r="H7" s="35" t="inlineStr">
        <is>
          <t>R</t>
        </is>
      </c>
    </row>
    <row r="8" ht="15" customHeight="1" s="27">
      <c r="A8" s="35" t="inlineStr">
        <is>
          <t>Vendor contract award</t>
        </is>
      </c>
      <c r="B8" s="35" t="inlineStr">
        <is>
          <t>C</t>
        </is>
      </c>
      <c r="C8" s="35" t="inlineStr">
        <is>
          <t>A</t>
        </is>
      </c>
      <c r="D8" s="35" t="inlineStr">
        <is>
          <t>I</t>
        </is>
      </c>
      <c r="E8" s="35" t="inlineStr">
        <is>
          <t>I</t>
        </is>
      </c>
      <c r="F8" s="35" t="inlineStr">
        <is>
          <t>R</t>
        </is>
      </c>
      <c r="G8" s="35" t="inlineStr">
        <is>
          <t>R</t>
        </is>
      </c>
      <c r="H8" s="35" t="inlineStr">
        <is>
          <t>C</t>
        </is>
      </c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 ht="15" customHeight="1" s="27">
      <c r="A28" s="36" t="n"/>
      <c r="B28" s="36" t="n"/>
      <c r="C28" s="36" t="n"/>
      <c r="D28" s="36" t="n"/>
      <c r="E28" s="36" t="n"/>
      <c r="F28" s="36" t="n"/>
      <c r="G28" s="36" t="n"/>
      <c r="H28" s="36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5" customWidth="1" style="26" min="2" max="3"/>
    <col width="34" customWidth="1" style="26" min="4" max="4"/>
    <col width="15" customWidth="1" style="26" min="5" max="5"/>
    <col width="30" customWidth="1" style="26" min="6" max="6"/>
    <col width="34" customWidth="1" style="26" min="7" max="7"/>
    <col width="10" customWidth="1" style="26" min="8" max="8"/>
  </cols>
  <sheetData>
    <row r="1" ht="21.75" customHeight="1" s="27">
      <c r="A1" s="33" t="inlineStr">
        <is>
          <t>Lessons Learned</t>
        </is>
      </c>
    </row>
    <row r="2" ht="15" customHeight="1" s="27">
      <c r="A2" s="34" t="inlineStr">
        <is>
          <t>Capture what worked / what didn't. Category + recommendation for future projects.</t>
        </is>
      </c>
    </row>
    <row r="3"/>
    <row r="4" ht="15" customHeight="1" s="27">
      <c r="A4" s="30" t="inlineStr">
        <is>
          <t>ID</t>
        </is>
      </c>
      <c r="B4" s="30" t="inlineStr">
        <is>
          <t>Project Phase</t>
        </is>
      </c>
      <c r="C4" s="30" t="inlineStr">
        <is>
          <t>Category</t>
        </is>
      </c>
      <c r="D4" s="30" t="inlineStr">
        <is>
          <t>What Happened</t>
        </is>
      </c>
      <c r="E4" s="30" t="inlineStr">
        <is>
          <t>Impact</t>
        </is>
      </c>
      <c r="F4" s="30" t="inlineStr">
        <is>
          <t>Lesson / Root Cause</t>
        </is>
      </c>
      <c r="G4" s="30" t="inlineStr">
        <is>
          <t>Recommendation</t>
        </is>
      </c>
      <c r="H4" s="30" t="inlineStr">
        <is>
          <t>Owner</t>
        </is>
      </c>
    </row>
    <row r="5" ht="15" customHeight="1" s="27">
      <c r="A5" s="35" t="inlineStr">
        <is>
          <t>LL-001</t>
        </is>
      </c>
      <c r="B5" s="35" t="inlineStr">
        <is>
          <t>Delivery</t>
        </is>
      </c>
      <c r="C5" s="35" t="inlineStr">
        <is>
          <t>Vendor Mgmt</t>
        </is>
      </c>
      <c r="D5" s="35" t="inlineStr">
        <is>
          <t>Single-source vendor delayed power kit</t>
        </is>
      </c>
      <c r="E5" s="35" t="inlineStr">
        <is>
          <t>Schedule +2 wks</t>
        </is>
      </c>
      <c r="F5" s="35" t="inlineStr">
        <is>
          <t>Over-reliance on one supplier</t>
        </is>
      </c>
      <c r="G5" s="35" t="inlineStr">
        <is>
          <t>Pre-qualify 2+ vendors for critical items</t>
        </is>
      </c>
      <c r="H5" s="35" t="inlineStr">
        <is>
          <t>PMO</t>
        </is>
      </c>
    </row>
    <row r="6" ht="15" customHeight="1" s="27">
      <c r="A6" s="35" t="inlineStr">
        <is>
          <t>LL-002</t>
        </is>
      </c>
      <c r="B6" s="35" t="inlineStr">
        <is>
          <t>Planning</t>
        </is>
      </c>
      <c r="C6" s="35" t="inlineStr">
        <is>
          <t>Scheduling</t>
        </is>
      </c>
      <c r="D6" s="35" t="inlineStr">
        <is>
          <t>Site-readiness not gated before install</t>
        </is>
      </c>
      <c r="E6" s="35" t="inlineStr">
        <is>
          <t>Rework on 4 sites</t>
        </is>
      </c>
      <c r="F6" s="35" t="inlineStr">
        <is>
          <t>Missing dependency gate</t>
        </is>
      </c>
      <c r="G6" s="35" t="inlineStr">
        <is>
          <t>Add readiness gate to milestone plan</t>
        </is>
      </c>
      <c r="H6" s="35" t="inlineStr">
        <is>
          <t>PM</t>
        </is>
      </c>
    </row>
    <row r="7" ht="15" customHeight="1" s="27">
      <c r="A7" s="36" t="n"/>
      <c r="B7" s="36" t="n"/>
      <c r="C7" s="36" t="n"/>
      <c r="D7" s="36" t="n"/>
      <c r="E7" s="36" t="n"/>
      <c r="F7" s="36" t="n"/>
      <c r="G7" s="36" t="n"/>
      <c r="H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  <c r="H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</row>
  </sheetData>
  <mergeCells count="2">
    <mergeCell ref="A2:H2"/>
    <mergeCell ref="A1:H1"/>
  </mergeCells>
  <dataValidations count="1">
    <dataValidation sqref="B5:B40" showDropDown="0" showInputMessage="0" showErrorMessage="0" allowBlank="1" type="list" errorStyle="stop" operator="between">
      <formula1>"Initiation,Planning,Delivery,Closure,Governance"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40" customWidth="1" style="26" min="2" max="2"/>
    <col width="13" customWidth="1" style="26" min="3" max="5"/>
    <col width="12" customWidth="1" style="26" min="6" max="6"/>
    <col width="11" customWidth="1" style="26" min="7" max="7"/>
    <col width="30" customWidth="1" style="26" min="8" max="8"/>
  </cols>
  <sheetData>
    <row r="1" ht="21.75" customHeight="1" s="27">
      <c r="A1" s="33" t="inlineStr">
        <is>
          <t>Action Log</t>
        </is>
      </c>
    </row>
    <row r="2" ht="15" customHeight="1" s="27">
      <c r="A2" s="34" t="inlineStr">
        <is>
          <t>Action items from meetings. Overdue flag auto-triggers when past due &amp; not done.</t>
        </is>
      </c>
    </row>
    <row r="3"/>
    <row r="4" ht="15" customHeight="1" s="27">
      <c r="A4" s="30" t="inlineStr">
        <is>
          <t>Action ID</t>
        </is>
      </c>
      <c r="B4" s="30" t="inlineStr">
        <is>
          <t>Action Description</t>
        </is>
      </c>
      <c r="C4" s="30" t="inlineStr">
        <is>
          <t>Owner</t>
        </is>
      </c>
      <c r="D4" s="30" t="inlineStr">
        <is>
          <t>Date Raised</t>
        </is>
      </c>
      <c r="E4" s="30" t="inlineStr">
        <is>
          <t>Due Date</t>
        </is>
      </c>
      <c r="F4" s="30" t="inlineStr">
        <is>
          <t>Status</t>
        </is>
      </c>
      <c r="G4" s="30" t="inlineStr">
        <is>
          <t>Overdue?</t>
        </is>
      </c>
      <c r="H4" s="30" t="inlineStr">
        <is>
          <t>Notes</t>
        </is>
      </c>
    </row>
    <row r="5" ht="15" customHeight="1" s="27">
      <c r="A5" s="35" t="inlineStr">
        <is>
          <t>A-001</t>
        </is>
      </c>
      <c r="B5" s="35" t="inlineStr">
        <is>
          <t>Confirm OTDR results with vendor</t>
        </is>
      </c>
      <c r="C5" s="35" t="inlineStr">
        <is>
          <t>Fiber Lead</t>
        </is>
      </c>
      <c r="D5" s="35" t="inlineStr">
        <is>
          <t>2023-07-17</t>
        </is>
      </c>
      <c r="E5" s="35" t="inlineStr">
        <is>
          <t>2023-07-21</t>
        </is>
      </c>
      <c r="F5" s="35" t="inlineStr">
        <is>
          <t>Open</t>
        </is>
      </c>
      <c r="G5" s="37">
        <f>IF(AND(F5&lt;&gt;"Done",F5&lt;&gt;"",ISNUMBER(E5),E5&lt;TODAY()),"OVERDUE","")</f>
        <v/>
      </c>
      <c r="H5" s="35" t="inlineStr">
        <is>
          <t>Awaiting vendor</t>
        </is>
      </c>
    </row>
    <row r="6" ht="15" customHeight="1" s="27">
      <c r="A6" s="35" t="inlineStr">
        <is>
          <t>A-002</t>
        </is>
      </c>
      <c r="B6" s="35" t="inlineStr">
        <is>
          <t>Submit capitalization WSR</t>
        </is>
      </c>
      <c r="C6" s="35" t="inlineStr">
        <is>
          <t>PM</t>
        </is>
      </c>
      <c r="D6" s="35" t="inlineStr">
        <is>
          <t>2023-07-01</t>
        </is>
      </c>
      <c r="E6" s="35" t="inlineStr">
        <is>
          <t>2023-07-05</t>
        </is>
      </c>
      <c r="F6" s="35" t="inlineStr">
        <is>
          <t>Done</t>
        </is>
      </c>
      <c r="G6" s="37">
        <f>IF(AND(F6&lt;&gt;"Done",F6&lt;&gt;"",ISNUMBER(E6),E6&lt;TODAY()),"OVERDUE","")</f>
        <v/>
      </c>
      <c r="H6" s="35" t="inlineStr">
        <is>
          <t>Submitted</t>
        </is>
      </c>
    </row>
    <row r="7" ht="15" customHeight="1" s="27">
      <c r="A7" s="36" t="n"/>
      <c r="B7" s="36" t="n"/>
      <c r="C7" s="36" t="n"/>
      <c r="D7" s="36" t="n"/>
      <c r="E7" s="36" t="n"/>
      <c r="F7" s="36" t="n"/>
      <c r="G7" s="38">
        <f>IF(AND(F7&lt;&gt;"Done",F7&lt;&gt;"",ISNUMBER(E7),E7&lt;TODAY()),"OVERDUE","")</f>
        <v/>
      </c>
      <c r="H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8">
        <f>IF(AND(F8&lt;&gt;"Done",F8&lt;&gt;"",ISNUMBER(E8),E8&lt;TODAY()),"OVERDUE","")</f>
        <v/>
      </c>
      <c r="H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8">
        <f>IF(AND(F9&lt;&gt;"Done",F9&lt;&gt;"",ISNUMBER(E9),E9&lt;TODAY()),"OVERDUE","")</f>
        <v/>
      </c>
      <c r="H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8">
        <f>IF(AND(F10&lt;&gt;"Done",F10&lt;&gt;"",ISNUMBER(E10),E10&lt;TODAY()),"OVERDUE","")</f>
        <v/>
      </c>
      <c r="H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8">
        <f>IF(AND(F11&lt;&gt;"Done",F11&lt;&gt;"",ISNUMBER(E11),E11&lt;TODAY()),"OVERDUE","")</f>
        <v/>
      </c>
      <c r="H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8">
        <f>IF(AND(F12&lt;&gt;"Done",F12&lt;&gt;"",ISNUMBER(E12),E12&lt;TODAY()),"OVERDUE","")</f>
        <v/>
      </c>
      <c r="H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8">
        <f>IF(AND(F13&lt;&gt;"Done",F13&lt;&gt;"",ISNUMBER(E13),E13&lt;TODAY()),"OVERDUE","")</f>
        <v/>
      </c>
      <c r="H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8">
        <f>IF(AND(F14&lt;&gt;"Done",F14&lt;&gt;"",ISNUMBER(E14),E14&lt;TODAY()),"OVERDUE","")</f>
        <v/>
      </c>
      <c r="H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8">
        <f>IF(AND(F15&lt;&gt;"Done",F15&lt;&gt;"",ISNUMBER(E15),E15&lt;TODAY()),"OVERDUE","")</f>
        <v/>
      </c>
      <c r="H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8">
        <f>IF(AND(F16&lt;&gt;"Done",F16&lt;&gt;"",ISNUMBER(E16),E16&lt;TODAY()),"OVERDUE","")</f>
        <v/>
      </c>
      <c r="H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8">
        <f>IF(AND(F17&lt;&gt;"Done",F17&lt;&gt;"",ISNUMBER(E17),E17&lt;TODAY()),"OVERDUE","")</f>
        <v/>
      </c>
      <c r="H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8">
        <f>IF(AND(F18&lt;&gt;"Done",F18&lt;&gt;"",ISNUMBER(E18),E18&lt;TODAY()),"OVERDUE","")</f>
        <v/>
      </c>
      <c r="H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8">
        <f>IF(AND(F19&lt;&gt;"Done",F19&lt;&gt;"",ISNUMBER(E19),E19&lt;TODAY()),"OVERDUE","")</f>
        <v/>
      </c>
      <c r="H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8">
        <f>IF(AND(F20&lt;&gt;"Done",F20&lt;&gt;"",ISNUMBER(E20),E20&lt;TODAY()),"OVERDUE","")</f>
        <v/>
      </c>
      <c r="H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8">
        <f>IF(AND(F21&lt;&gt;"Done",F21&lt;&gt;"",ISNUMBER(E21),E21&lt;TODAY()),"OVERDUE","")</f>
        <v/>
      </c>
      <c r="H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8">
        <f>IF(AND(F22&lt;&gt;"Done",F22&lt;&gt;"",ISNUMBER(E22),E22&lt;TODAY()),"OVERDUE","")</f>
        <v/>
      </c>
      <c r="H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8">
        <f>IF(AND(F23&lt;&gt;"Done",F23&lt;&gt;"",ISNUMBER(E23),E23&lt;TODAY()),"OVERDUE","")</f>
        <v/>
      </c>
      <c r="H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8">
        <f>IF(AND(F24&lt;&gt;"Done",F24&lt;&gt;"",ISNUMBER(E24),E24&lt;TODAY()),"OVERDUE","")</f>
        <v/>
      </c>
      <c r="H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8">
        <f>IF(AND(F25&lt;&gt;"Done",F25&lt;&gt;"",ISNUMBER(E25),E25&lt;TODAY()),"OVERDUE","")</f>
        <v/>
      </c>
      <c r="H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</row>
  </sheetData>
  <mergeCells count="2">
    <mergeCell ref="A2:H2"/>
    <mergeCell ref="A1:H1"/>
  </mergeCells>
  <dataValidations count="1">
    <dataValidation sqref="F5:F25" showDropDown="0" showInputMessage="0" showErrorMessage="0" allowBlank="1" type="list" errorStyle="stop" operator="between">
      <formula1>"Open,In Progress,Done,Blocked"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34" customWidth="1" style="26" min="2" max="2"/>
    <col width="13" customWidth="1" style="26" min="3" max="3"/>
    <col width="15" customWidth="1" style="26" min="4" max="4"/>
    <col width="30" customWidth="1" style="26" min="5" max="6"/>
    <col width="20" customWidth="1" style="26" min="7" max="7"/>
  </cols>
  <sheetData>
    <row r="1" ht="21.75" customHeight="1" s="27">
      <c r="A1" s="33" t="inlineStr">
        <is>
          <t>Decision Log</t>
        </is>
      </c>
    </row>
    <row r="2" ht="15" customHeight="1" s="27">
      <c r="A2" s="34" t="inlineStr">
        <is>
          <t>Record key decisions, who made them, alternatives considered, and rationale.</t>
        </is>
      </c>
    </row>
    <row r="3"/>
    <row r="4" ht="26.85" customHeight="1" s="27">
      <c r="A4" s="30" t="inlineStr">
        <is>
          <t>ID</t>
        </is>
      </c>
      <c r="B4" s="30" t="inlineStr">
        <is>
          <t>Decision</t>
        </is>
      </c>
      <c r="C4" s="30" t="inlineStr">
        <is>
          <t>Date</t>
        </is>
      </c>
      <c r="D4" s="30" t="inlineStr">
        <is>
          <t>Decision Maker</t>
        </is>
      </c>
      <c r="E4" s="30" t="inlineStr">
        <is>
          <t>Alternatives Considered</t>
        </is>
      </c>
      <c r="F4" s="30" t="inlineStr">
        <is>
          <t>Rationale</t>
        </is>
      </c>
      <c r="G4" s="30" t="inlineStr">
        <is>
          <t>Impact</t>
        </is>
      </c>
    </row>
    <row r="5" ht="15" customHeight="1" s="27">
      <c r="A5" s="35" t="inlineStr">
        <is>
          <t>D-001</t>
        </is>
      </c>
      <c r="B5" s="35" t="inlineStr">
        <is>
          <t>Dual-source power equipment</t>
        </is>
      </c>
      <c r="C5" s="35" t="inlineStr">
        <is>
          <t>2023-07-04</t>
        </is>
      </c>
      <c r="D5" s="35" t="inlineStr">
        <is>
          <t>Sponsor</t>
        </is>
      </c>
      <c r="E5" s="35" t="inlineStr">
        <is>
          <t>Single-source (cheaper)</t>
        </is>
      </c>
      <c r="F5" s="35" t="inlineStr">
        <is>
          <t>De-risk delivery slippage</t>
        </is>
      </c>
      <c r="G5" s="35" t="inlineStr">
        <is>
          <t>+5% cost, -2wk risk</t>
        </is>
      </c>
    </row>
    <row r="6" ht="15" customHeight="1" s="27">
      <c r="A6" s="36" t="n"/>
      <c r="B6" s="36" t="n"/>
      <c r="C6" s="36" t="n"/>
      <c r="D6" s="36" t="n"/>
      <c r="E6" s="36" t="n"/>
      <c r="F6" s="36" t="n"/>
      <c r="G6" s="36" t="n"/>
    </row>
    <row r="7" ht="15" customHeight="1" s="27">
      <c r="A7" s="36" t="n"/>
      <c r="B7" s="36" t="n"/>
      <c r="C7" s="36" t="n"/>
      <c r="D7" s="36" t="n"/>
      <c r="E7" s="36" t="n"/>
      <c r="F7" s="36" t="n"/>
      <c r="G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34" customWidth="1" style="26" min="2" max="2"/>
    <col width="14" customWidth="1" style="26" min="3" max="3"/>
    <col width="12" customWidth="1" style="26" min="4" max="4"/>
    <col width="15" customWidth="1" style="26" min="5" max="5"/>
    <col width="13" customWidth="1" style="26" min="6" max="6"/>
    <col width="15" customWidth="1" style="26" min="7" max="7"/>
    <col width="11" customWidth="1" style="26" min="8" max="8"/>
    <col width="12" customWidth="1" style="26" min="9" max="9"/>
  </cols>
  <sheetData>
    <row r="1" ht="21.75" customHeight="1" s="27">
      <c r="A1" s="33" t="inlineStr">
        <is>
          <t>Change Log</t>
        </is>
      </c>
    </row>
    <row r="2" ht="15" customHeight="1" s="27">
      <c r="A2" s="34" t="inlineStr">
        <is>
          <t>Change control. Each request assessed for scope/cost/schedule impact before approval.</t>
        </is>
      </c>
    </row>
    <row r="3"/>
    <row r="4" ht="26.85" customHeight="1" s="27">
      <c r="A4" s="30" t="inlineStr">
        <is>
          <t>CR ID</t>
        </is>
      </c>
      <c r="B4" s="30" t="inlineStr">
        <is>
          <t>Change Description</t>
        </is>
      </c>
      <c r="C4" s="30" t="inlineStr">
        <is>
          <t>Requested By</t>
        </is>
      </c>
      <c r="D4" s="30" t="inlineStr">
        <is>
          <t>Date</t>
        </is>
      </c>
      <c r="E4" s="30" t="inlineStr">
        <is>
          <t>Scope Impact</t>
        </is>
      </c>
      <c r="F4" s="30" t="inlineStr">
        <is>
          <t>Cost Impact</t>
        </is>
      </c>
      <c r="G4" s="30" t="inlineStr">
        <is>
          <t>Schedule Impact</t>
        </is>
      </c>
      <c r="H4" s="30" t="inlineStr">
        <is>
          <t>Status</t>
        </is>
      </c>
      <c r="I4" s="30" t="inlineStr">
        <is>
          <t>Approver</t>
        </is>
      </c>
    </row>
    <row r="5" ht="15" customHeight="1" s="27">
      <c r="A5" s="35" t="inlineStr">
        <is>
          <t>CR-001</t>
        </is>
      </c>
      <c r="B5" s="35" t="inlineStr">
        <is>
          <t>Add 12 sites to retrofit scope</t>
        </is>
      </c>
      <c r="C5" s="35" t="inlineStr">
        <is>
          <t>Ops Lead</t>
        </is>
      </c>
      <c r="D5" s="35" t="inlineStr">
        <is>
          <t>2023-08-01</t>
        </is>
      </c>
      <c r="E5" s="35" t="inlineStr">
        <is>
          <t>+12 sites</t>
        </is>
      </c>
      <c r="F5" s="35" t="inlineStr">
        <is>
          <t>+£X</t>
        </is>
      </c>
      <c r="G5" s="35" t="inlineStr">
        <is>
          <t>+1 week</t>
        </is>
      </c>
      <c r="H5" s="35" t="inlineStr">
        <is>
          <t>Pending</t>
        </is>
      </c>
      <c r="I5" s="35" t="inlineStr">
        <is>
          <t>Sponsor</t>
        </is>
      </c>
    </row>
    <row r="6" ht="15" customHeight="1" s="27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</row>
    <row r="7" ht="15" customHeight="1" s="27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</row>
  </sheetData>
  <mergeCells count="2">
    <mergeCell ref="A1:I1"/>
    <mergeCell ref="A2:I2"/>
  </mergeCells>
  <dataValidations count="1">
    <dataValidation sqref="H5:H40" showDropDown="0" showInputMessage="0" showErrorMessage="0" allowBlank="1" type="list" errorStyle="stop" operator="between">
      <formula1>"Submitted,Under Review,Approved,Rejected,Deferred"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2" customWidth="1" style="26" min="2" max="2"/>
    <col width="40" customWidth="1" style="26" min="3" max="3"/>
    <col width="13" customWidth="1" style="26" min="4" max="6"/>
    <col width="12" customWidth="1" style="26" min="7" max="7"/>
    <col width="15" customWidth="1" style="26" min="8" max="8"/>
  </cols>
  <sheetData>
    <row r="1" ht="21.75" customHeight="1" s="27">
      <c r="A1" s="33" t="inlineStr">
        <is>
          <t>WBS</t>
        </is>
      </c>
    </row>
    <row r="2" ht="15" customHeight="1" s="27">
      <c r="A2" s="34" t="inlineStr">
        <is>
          <t>Work Breakdown Structure. Decompose project into phases → packages → tasks.</t>
        </is>
      </c>
    </row>
    <row r="3"/>
    <row r="4" ht="26.85" customHeight="1" s="27">
      <c r="A4" s="30" t="inlineStr">
        <is>
          <t>WBS #</t>
        </is>
      </c>
      <c r="B4" s="30" t="inlineStr">
        <is>
          <t>Level</t>
        </is>
      </c>
      <c r="C4" s="30" t="inlineStr">
        <is>
          <t>Phase / Package / Task</t>
        </is>
      </c>
      <c r="D4" s="30" t="inlineStr">
        <is>
          <t>Owner</t>
        </is>
      </c>
      <c r="E4" s="30" t="inlineStr">
        <is>
          <t>Start</t>
        </is>
      </c>
      <c r="F4" s="30" t="inlineStr">
        <is>
          <t>Finish</t>
        </is>
      </c>
      <c r="G4" s="30" t="inlineStr">
        <is>
          <t>% Complete</t>
        </is>
      </c>
      <c r="H4" s="30" t="inlineStr">
        <is>
          <t>Dependencies</t>
        </is>
      </c>
    </row>
    <row r="5" ht="15" customHeight="1" s="27">
      <c r="A5" s="35" t="inlineStr">
        <is>
          <t>1</t>
        </is>
      </c>
      <c r="B5" s="35" t="inlineStr">
        <is>
          <t>Phase</t>
        </is>
      </c>
      <c r="C5" s="35" t="inlineStr">
        <is>
          <t>Initiation</t>
        </is>
      </c>
      <c r="D5" s="35" t="inlineStr">
        <is>
          <t>PM</t>
        </is>
      </c>
      <c r="E5" s="35" t="inlineStr">
        <is>
          <t>2023-06-01</t>
        </is>
      </c>
      <c r="F5" s="35" t="inlineStr">
        <is>
          <t>2023-06-15</t>
        </is>
      </c>
      <c r="G5" s="35" t="inlineStr">
        <is>
          <t>100%</t>
        </is>
      </c>
      <c r="H5" s="35" t="n"/>
    </row>
    <row r="6" ht="15" customHeight="1" s="27">
      <c r="A6" s="35" t="inlineStr">
        <is>
          <t>1.1</t>
        </is>
      </c>
      <c r="B6" s="35" t="inlineStr">
        <is>
          <t>Package</t>
        </is>
      </c>
      <c r="C6" s="35" t="inlineStr">
        <is>
          <t>Project charter</t>
        </is>
      </c>
      <c r="D6" s="35" t="inlineStr">
        <is>
          <t>PM</t>
        </is>
      </c>
      <c r="E6" s="35" t="inlineStr">
        <is>
          <t>2023-06-01</t>
        </is>
      </c>
      <c r="F6" s="35" t="inlineStr">
        <is>
          <t>2023-06-07</t>
        </is>
      </c>
      <c r="G6" s="35" t="inlineStr">
        <is>
          <t>100%</t>
        </is>
      </c>
      <c r="H6" s="35" t="inlineStr">
        <is>
          <t>-</t>
        </is>
      </c>
    </row>
    <row r="7" ht="15" customHeight="1" s="27">
      <c r="A7" s="35" t="inlineStr">
        <is>
          <t>1.2</t>
        </is>
      </c>
      <c r="B7" s="35" t="inlineStr">
        <is>
          <t>Package</t>
        </is>
      </c>
      <c r="C7" s="35" t="inlineStr">
        <is>
          <t>Stakeholder analysis</t>
        </is>
      </c>
      <c r="D7" s="35" t="inlineStr">
        <is>
          <t>PMO</t>
        </is>
      </c>
      <c r="E7" s="35" t="inlineStr">
        <is>
          <t>2023-06-08</t>
        </is>
      </c>
      <c r="F7" s="35" t="inlineStr">
        <is>
          <t>2023-06-15</t>
        </is>
      </c>
      <c r="G7" s="35" t="inlineStr">
        <is>
          <t>100%</t>
        </is>
      </c>
      <c r="H7" s="35" t="inlineStr">
        <is>
          <t>1.1</t>
        </is>
      </c>
    </row>
    <row r="8" ht="15" customHeight="1" s="27">
      <c r="A8" s="35" t="inlineStr">
        <is>
          <t>2</t>
        </is>
      </c>
      <c r="B8" s="35" t="inlineStr">
        <is>
          <t>Phase</t>
        </is>
      </c>
      <c r="C8" s="35" t="inlineStr">
        <is>
          <t>Planning</t>
        </is>
      </c>
      <c r="D8" s="35" t="inlineStr">
        <is>
          <t>PM</t>
        </is>
      </c>
      <c r="E8" s="35" t="inlineStr">
        <is>
          <t>2023-06-16</t>
        </is>
      </c>
      <c r="F8" s="35" t="inlineStr">
        <is>
          <t>2023-07-15</t>
        </is>
      </c>
      <c r="G8" s="35" t="inlineStr">
        <is>
          <t>80%</t>
        </is>
      </c>
      <c r="H8" s="35" t="inlineStr">
        <is>
          <t>1</t>
        </is>
      </c>
    </row>
    <row r="9" ht="15" customHeight="1" s="27">
      <c r="A9" s="35" t="inlineStr">
        <is>
          <t>2.1</t>
        </is>
      </c>
      <c r="B9" s="35" t="inlineStr">
        <is>
          <t>Package</t>
        </is>
      </c>
      <c r="C9" s="35" t="inlineStr">
        <is>
          <t>WBS &amp; schedule</t>
        </is>
      </c>
      <c r="D9" s="35" t="inlineStr">
        <is>
          <t>PM</t>
        </is>
      </c>
      <c r="E9" s="35" t="inlineStr">
        <is>
          <t>2023-06-16</t>
        </is>
      </c>
      <c r="F9" s="35" t="inlineStr">
        <is>
          <t>2023-06-30</t>
        </is>
      </c>
      <c r="G9" s="35" t="inlineStr">
        <is>
          <t>100%</t>
        </is>
      </c>
      <c r="H9" s="35" t="inlineStr">
        <is>
          <t>1</t>
        </is>
      </c>
    </row>
    <row r="10" ht="15" customHeight="1" s="27">
      <c r="A10" s="35" t="inlineStr">
        <is>
          <t>2.2</t>
        </is>
      </c>
      <c r="B10" s="35" t="inlineStr">
        <is>
          <t>Package</t>
        </is>
      </c>
      <c r="C10" s="35" t="inlineStr">
        <is>
          <t>Risk &amp; RAID baseline</t>
        </is>
      </c>
      <c r="D10" s="35" t="inlineStr">
        <is>
          <t>PMO</t>
        </is>
      </c>
      <c r="E10" s="35" t="inlineStr">
        <is>
          <t>2023-07-01</t>
        </is>
      </c>
      <c r="F10" s="35" t="inlineStr">
        <is>
          <t>2023-07-15</t>
        </is>
      </c>
      <c r="G10" s="35" t="inlineStr">
        <is>
          <t>60%</t>
        </is>
      </c>
      <c r="H10" s="35" t="inlineStr">
        <is>
          <t>2.1</t>
        </is>
      </c>
    </row>
    <row r="11" ht="15" customHeight="1" s="27">
      <c r="A11" s="35" t="inlineStr">
        <is>
          <t>3</t>
        </is>
      </c>
      <c r="B11" s="35" t="inlineStr">
        <is>
          <t>Phase</t>
        </is>
      </c>
      <c r="C11" s="35" t="inlineStr">
        <is>
          <t>Delivery</t>
        </is>
      </c>
      <c r="D11" s="35" t="inlineStr">
        <is>
          <t>Ops Lead</t>
        </is>
      </c>
      <c r="E11" s="35" t="inlineStr">
        <is>
          <t>2023-07-16</t>
        </is>
      </c>
      <c r="F11" s="35" t="inlineStr">
        <is>
          <t>2023-09-30</t>
        </is>
      </c>
      <c r="G11" s="35" t="inlineStr">
        <is>
          <t>45%</t>
        </is>
      </c>
      <c r="H11" s="35" t="inlineStr">
        <is>
          <t>2</t>
        </is>
      </c>
    </row>
    <row r="12" ht="15" customHeight="1" s="27">
      <c r="A12" s="35" t="inlineStr">
        <is>
          <t>3.1</t>
        </is>
      </c>
      <c r="B12" s="35" t="inlineStr">
        <is>
          <t>Package</t>
        </is>
      </c>
      <c r="C12" s="35" t="inlineStr">
        <is>
          <t>Site builds</t>
        </is>
      </c>
      <c r="D12" s="35" t="inlineStr">
        <is>
          <t>Ops Lead</t>
        </is>
      </c>
      <c r="E12" s="35" t="inlineStr">
        <is>
          <t>2023-07-16</t>
        </is>
      </c>
      <c r="F12" s="35" t="inlineStr">
        <is>
          <t>2023-09-15</t>
        </is>
      </c>
      <c r="G12" s="35" t="inlineStr">
        <is>
          <t>50%</t>
        </is>
      </c>
      <c r="H12" s="35" t="inlineStr">
        <is>
          <t>2.2</t>
        </is>
      </c>
    </row>
    <row r="13" ht="15" customHeight="1" s="27">
      <c r="A13" s="35" t="inlineStr">
        <is>
          <t>3.2</t>
        </is>
      </c>
      <c r="B13" s="35" t="inlineStr">
        <is>
          <t>Package</t>
        </is>
      </c>
      <c r="C13" s="35" t="inlineStr">
        <is>
          <t>Power &amp; energy install</t>
        </is>
      </c>
      <c r="D13" s="35" t="inlineStr">
        <is>
          <t>Vendor</t>
        </is>
      </c>
      <c r="E13" s="35" t="inlineStr">
        <is>
          <t>2023-08-01</t>
        </is>
      </c>
      <c r="F13" s="35" t="inlineStr">
        <is>
          <t>2023-09-30</t>
        </is>
      </c>
      <c r="G13" s="35" t="inlineStr">
        <is>
          <t>40%</t>
        </is>
      </c>
      <c r="H13" s="35" t="inlineStr">
        <is>
          <t>3.1</t>
        </is>
      </c>
    </row>
    <row r="14" ht="15" customHeight="1" s="27">
      <c r="A14" s="35" t="inlineStr">
        <is>
          <t>4</t>
        </is>
      </c>
      <c r="B14" s="35" t="inlineStr">
        <is>
          <t>Phase</t>
        </is>
      </c>
      <c r="C14" s="35" t="inlineStr">
        <is>
          <t>Closure</t>
        </is>
      </c>
      <c r="D14" s="35" t="inlineStr">
        <is>
          <t>PM</t>
        </is>
      </c>
      <c r="E14" s="35" t="inlineStr">
        <is>
          <t>2023-10-01</t>
        </is>
      </c>
      <c r="F14" s="35" t="inlineStr">
        <is>
          <t>2023-10-15</t>
        </is>
      </c>
      <c r="G14" s="35" t="inlineStr">
        <is>
          <t>0%</t>
        </is>
      </c>
      <c r="H14" s="35" t="inlineStr">
        <is>
          <t>3</t>
        </is>
      </c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 ht="15" customHeight="1" s="27">
      <c r="A28" s="36" t="n"/>
      <c r="B28" s="36" t="n"/>
      <c r="C28" s="36" t="n"/>
      <c r="D28" s="36" t="n"/>
      <c r="E28" s="36" t="n"/>
      <c r="F28" s="36" t="n"/>
      <c r="G28" s="36" t="n"/>
      <c r="H28" s="36" t="n"/>
    </row>
    <row r="29" ht="15" customHeight="1" s="27">
      <c r="A29" s="36" t="n"/>
      <c r="B29" s="36" t="n"/>
      <c r="C29" s="36" t="n"/>
      <c r="D29" s="36" t="n"/>
      <c r="E29" s="36" t="n"/>
      <c r="F29" s="36" t="n"/>
      <c r="G29" s="36" t="n"/>
      <c r="H29" s="36" t="n"/>
    </row>
    <row r="30" ht="15" customHeight="1" s="27">
      <c r="A30" s="36" t="n"/>
      <c r="B30" s="36" t="n"/>
      <c r="C30" s="36" t="n"/>
      <c r="D30" s="36" t="n"/>
      <c r="E30" s="36" t="n"/>
      <c r="F30" s="36" t="n"/>
      <c r="G30" s="36" t="n"/>
      <c r="H30" s="36" t="n"/>
    </row>
    <row r="31" ht="15" customHeight="1" s="27">
      <c r="A31" s="36" t="n"/>
      <c r="B31" s="36" t="n"/>
      <c r="C31" s="36" t="n"/>
      <c r="D31" s="36" t="n"/>
      <c r="E31" s="36" t="n"/>
      <c r="F31" s="36" t="n"/>
      <c r="G31" s="36" t="n"/>
      <c r="H31" s="36" t="n"/>
    </row>
    <row r="32" ht="15" customHeight="1" s="27">
      <c r="A32" s="36" t="n"/>
      <c r="B32" s="36" t="n"/>
      <c r="C32" s="36" t="n"/>
      <c r="D32" s="36" t="n"/>
      <c r="E32" s="36" t="n"/>
      <c r="F32" s="36" t="n"/>
      <c r="G32" s="36" t="n"/>
      <c r="H32" s="36" t="n"/>
    </row>
    <row r="33" ht="15" customHeight="1" s="27">
      <c r="A33" s="36" t="n"/>
      <c r="B33" s="36" t="n"/>
      <c r="C33" s="36" t="n"/>
      <c r="D33" s="36" t="n"/>
      <c r="E33" s="36" t="n"/>
      <c r="F33" s="36" t="n"/>
      <c r="G33" s="36" t="n"/>
      <c r="H33" s="36" t="n"/>
    </row>
    <row r="34" ht="15" customHeight="1" s="27">
      <c r="A34" s="36" t="n"/>
      <c r="B34" s="36" t="n"/>
      <c r="C34" s="36" t="n"/>
      <c r="D34" s="36" t="n"/>
      <c r="E34" s="36" t="n"/>
      <c r="F34" s="36" t="n"/>
      <c r="G34" s="36" t="n"/>
      <c r="H34" s="36" t="n"/>
    </row>
  </sheetData>
  <mergeCells count="2">
    <mergeCell ref="A2:H2"/>
    <mergeCell ref="A1:H1"/>
  </mergeCells>
  <dataValidations count="1">
    <dataValidation sqref="B5:B40" showDropDown="0" showInputMessage="0" showErrorMessage="0" allowBlank="1" type="list" errorStyle="stop" operator="between">
      <formula1>"Phase,Package,Task"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5" customWidth="1" style="26" min="2" max="2"/>
    <col width="18" customWidth="1" style="26" min="3" max="3"/>
    <col width="15" customWidth="1" style="26" min="4" max="4"/>
    <col width="10" customWidth="1" style="26" min="5" max="5"/>
    <col width="12" customWidth="1" style="26" min="6" max="6"/>
    <col width="30" customWidth="1" style="26" min="7" max="7"/>
  </cols>
  <sheetData>
    <row r="1" ht="21.75" customHeight="1" s="27">
      <c r="A1" s="33" t="inlineStr">
        <is>
          <t>Milestone Tracker</t>
        </is>
      </c>
    </row>
    <row r="2" ht="15" customHeight="1" s="27">
      <c r="A2" s="34" t="inlineStr">
        <is>
          <t>Key milestones with RAG. Variance auto-calculates Baseline vs Forecast (days).</t>
        </is>
      </c>
    </row>
    <row r="3"/>
    <row r="4" ht="26.85" customHeight="1" s="27">
      <c r="A4" s="30" t="inlineStr">
        <is>
          <t>Milestone</t>
        </is>
      </c>
      <c r="B4" s="30" t="inlineStr">
        <is>
          <t>Baseline Date</t>
        </is>
      </c>
      <c r="C4" s="30" t="inlineStr">
        <is>
          <t>Forecast/Actual Date</t>
        </is>
      </c>
      <c r="D4" s="30" t="inlineStr">
        <is>
          <t>Variance (days)</t>
        </is>
      </c>
      <c r="E4" s="30" t="inlineStr">
        <is>
          <t>RAG</t>
        </is>
      </c>
      <c r="F4" s="30" t="inlineStr">
        <is>
          <t>Owner</t>
        </is>
      </c>
      <c r="G4" s="30" t="inlineStr">
        <is>
          <t>Comments</t>
        </is>
      </c>
    </row>
    <row r="5" ht="15" customHeight="1" s="27">
      <c r="A5" s="35" t="inlineStr">
        <is>
          <t>Charter approved</t>
        </is>
      </c>
      <c r="B5" s="35" t="inlineStr">
        <is>
          <t>2023-06-15</t>
        </is>
      </c>
      <c r="C5" s="35" t="inlineStr">
        <is>
          <t>2023-06-15</t>
        </is>
      </c>
      <c r="D5" s="37">
        <f>IF(AND(ISNUMBER(B5),ISNUMBER(C5)),C5-B5,"")</f>
        <v/>
      </c>
      <c r="E5" s="35" t="inlineStr">
        <is>
          <t>Green</t>
        </is>
      </c>
      <c r="F5" s="35" t="inlineStr">
        <is>
          <t>PM</t>
        </is>
      </c>
      <c r="G5" s="35" t="inlineStr">
        <is>
          <t>On time</t>
        </is>
      </c>
    </row>
    <row r="6" ht="15" customHeight="1" s="27">
      <c r="A6" s="35" t="inlineStr">
        <is>
          <t>Planning complete</t>
        </is>
      </c>
      <c r="B6" s="35" t="inlineStr">
        <is>
          <t>2023-07-15</t>
        </is>
      </c>
      <c r="C6" s="35" t="inlineStr">
        <is>
          <t>2023-07-20</t>
        </is>
      </c>
      <c r="D6" s="37">
        <f>IF(AND(ISNUMBER(B6),ISNUMBER(C6)),C6-B6,"")</f>
        <v/>
      </c>
      <c r="E6" s="35" t="inlineStr">
        <is>
          <t>Amber</t>
        </is>
      </c>
      <c r="F6" s="35" t="inlineStr">
        <is>
          <t>PM</t>
        </is>
      </c>
      <c r="G6" s="35" t="inlineStr">
        <is>
          <t>5-day slip</t>
        </is>
      </c>
    </row>
    <row r="7" ht="15" customHeight="1" s="27">
      <c r="A7" s="35" t="inlineStr">
        <is>
          <t>50% sites delivered</t>
        </is>
      </c>
      <c r="B7" s="35" t="inlineStr">
        <is>
          <t>2023-08-31</t>
        </is>
      </c>
      <c r="C7" s="35" t="inlineStr">
        <is>
          <t>2023-09-10</t>
        </is>
      </c>
      <c r="D7" s="37">
        <f>IF(AND(ISNUMBER(B7),ISNUMBER(C7)),C7-B7,"")</f>
        <v/>
      </c>
      <c r="E7" s="35" t="inlineStr">
        <is>
          <t>Red</t>
        </is>
      </c>
      <c r="F7" s="35" t="inlineStr">
        <is>
          <t>Ops</t>
        </is>
      </c>
      <c r="G7" s="35" t="inlineStr">
        <is>
          <t>Vendor delay</t>
        </is>
      </c>
    </row>
    <row r="8" ht="15" customHeight="1" s="27">
      <c r="A8" s="36" t="n"/>
      <c r="B8" s="36" t="n"/>
      <c r="C8" s="36" t="n"/>
      <c r="D8" s="38">
        <f>IF(AND(ISNUMBER(B8),ISNUMBER(C8)),C8-B8,"")</f>
        <v/>
      </c>
      <c r="E8" s="36" t="n"/>
      <c r="F8" s="36" t="n"/>
      <c r="G8" s="36" t="n"/>
    </row>
    <row r="9" ht="15" customHeight="1" s="27">
      <c r="A9" s="36" t="n"/>
      <c r="B9" s="36" t="n"/>
      <c r="C9" s="36" t="n"/>
      <c r="D9" s="38">
        <f>IF(AND(ISNUMBER(B9),ISNUMBER(C9)),C9-B9,"")</f>
        <v/>
      </c>
      <c r="E9" s="36" t="n"/>
      <c r="F9" s="36" t="n"/>
      <c r="G9" s="36" t="n"/>
    </row>
    <row r="10" ht="15" customHeight="1" s="27">
      <c r="A10" s="36" t="n"/>
      <c r="B10" s="36" t="n"/>
      <c r="C10" s="36" t="n"/>
      <c r="D10" s="38">
        <f>IF(AND(ISNUMBER(B10),ISNUMBER(C10)),C10-B10,"")</f>
        <v/>
      </c>
      <c r="E10" s="36" t="n"/>
      <c r="F10" s="36" t="n"/>
      <c r="G10" s="36" t="n"/>
    </row>
    <row r="11" ht="15" customHeight="1" s="27">
      <c r="A11" s="36" t="n"/>
      <c r="B11" s="36" t="n"/>
      <c r="C11" s="36" t="n"/>
      <c r="D11" s="38">
        <f>IF(AND(ISNUMBER(B11),ISNUMBER(C11)),C11-B11,"")</f>
        <v/>
      </c>
      <c r="E11" s="36" t="n"/>
      <c r="F11" s="36" t="n"/>
      <c r="G11" s="36" t="n"/>
    </row>
    <row r="12" ht="15" customHeight="1" s="27">
      <c r="A12" s="36" t="n"/>
      <c r="B12" s="36" t="n"/>
      <c r="C12" s="36" t="n"/>
      <c r="D12" s="38">
        <f>IF(AND(ISNUMBER(B12),ISNUMBER(C12)),C12-B12,"")</f>
        <v/>
      </c>
      <c r="E12" s="36" t="n"/>
      <c r="F12" s="36" t="n"/>
      <c r="G12" s="36" t="n"/>
    </row>
    <row r="13" ht="15" customHeight="1" s="27">
      <c r="A13" s="36" t="n"/>
      <c r="B13" s="36" t="n"/>
      <c r="C13" s="36" t="n"/>
      <c r="D13" s="38">
        <f>IF(AND(ISNUMBER(B13),ISNUMBER(C13)),C13-B13,"")</f>
        <v/>
      </c>
      <c r="E13" s="36" t="n"/>
      <c r="F13" s="36" t="n"/>
      <c r="G13" s="36" t="n"/>
    </row>
    <row r="14" ht="15" customHeight="1" s="27">
      <c r="A14" s="36" t="n"/>
      <c r="B14" s="36" t="n"/>
      <c r="C14" s="36" t="n"/>
      <c r="D14" s="38">
        <f>IF(AND(ISNUMBER(B14),ISNUMBER(C14)),C14-B14,"")</f>
        <v/>
      </c>
      <c r="E14" s="36" t="n"/>
      <c r="F14" s="36" t="n"/>
      <c r="G14" s="36" t="n"/>
    </row>
    <row r="15" ht="15" customHeight="1" s="27">
      <c r="A15" s="36" t="n"/>
      <c r="B15" s="36" t="n"/>
      <c r="C15" s="36" t="n"/>
      <c r="D15" s="38">
        <f>IF(AND(ISNUMBER(B15),ISNUMBER(C15)),C15-B15,"")</f>
        <v/>
      </c>
      <c r="E15" s="36" t="n"/>
      <c r="F15" s="36" t="n"/>
      <c r="G15" s="36" t="n"/>
    </row>
    <row r="16" ht="15" customHeight="1" s="27">
      <c r="A16" s="36" t="n"/>
      <c r="B16" s="36" t="n"/>
      <c r="C16" s="36" t="n"/>
      <c r="D16" s="38">
        <f>IF(AND(ISNUMBER(B16),ISNUMBER(C16)),C16-B16,"")</f>
        <v/>
      </c>
      <c r="E16" s="36" t="n"/>
      <c r="F16" s="36" t="n"/>
      <c r="G16" s="36" t="n"/>
    </row>
    <row r="17" ht="15" customHeight="1" s="27">
      <c r="A17" s="36" t="n"/>
      <c r="B17" s="36" t="n"/>
      <c r="C17" s="36" t="n"/>
      <c r="D17" s="38">
        <f>IF(AND(ISNUMBER(B17),ISNUMBER(C17)),C17-B17,"")</f>
        <v/>
      </c>
      <c r="E17" s="36" t="n"/>
      <c r="F17" s="36" t="n"/>
      <c r="G17" s="36" t="n"/>
    </row>
    <row r="18" ht="15" customHeight="1" s="27">
      <c r="A18" s="36" t="n"/>
      <c r="B18" s="36" t="n"/>
      <c r="C18" s="36" t="n"/>
      <c r="D18" s="38">
        <f>IF(AND(ISNUMBER(B18),ISNUMBER(C18)),C18-B18,"")</f>
        <v/>
      </c>
      <c r="E18" s="36" t="n"/>
      <c r="F18" s="36" t="n"/>
      <c r="G18" s="36" t="n"/>
    </row>
    <row r="19" ht="15" customHeight="1" s="27">
      <c r="A19" s="36" t="n"/>
      <c r="B19" s="36" t="n"/>
      <c r="C19" s="36" t="n"/>
      <c r="D19" s="38">
        <f>IF(AND(ISNUMBER(B19),ISNUMBER(C19)),C19-B19,"")</f>
        <v/>
      </c>
      <c r="E19" s="36" t="n"/>
      <c r="F19" s="36" t="n"/>
      <c r="G19" s="36" t="n"/>
    </row>
    <row r="20" ht="15" customHeight="1" s="27">
      <c r="A20" s="36" t="n"/>
      <c r="B20" s="36" t="n"/>
      <c r="C20" s="36" t="n"/>
      <c r="D20" s="38">
        <f>IF(AND(ISNUMBER(B20),ISNUMBER(C20)),C20-B20,"")</f>
        <v/>
      </c>
      <c r="E20" s="36" t="n"/>
      <c r="F20" s="36" t="n"/>
      <c r="G20" s="36" t="n"/>
    </row>
    <row r="21" ht="15" customHeight="1" s="27">
      <c r="A21" s="36" t="n"/>
      <c r="B21" s="36" t="n"/>
      <c r="C21" s="36" t="n"/>
      <c r="D21" s="38">
        <f>IF(AND(ISNUMBER(B21),ISNUMBER(C21)),C21-B21,"")</f>
        <v/>
      </c>
      <c r="E21" s="36" t="n"/>
      <c r="F21" s="36" t="n"/>
      <c r="G21" s="36" t="n"/>
    </row>
    <row r="22" ht="15" customHeight="1" s="27">
      <c r="A22" s="36" t="n"/>
      <c r="B22" s="36" t="n"/>
      <c r="C22" s="36" t="n"/>
      <c r="D22" s="38">
        <f>IF(AND(ISNUMBER(B22),ISNUMBER(C22)),C22-B22,"")</f>
        <v/>
      </c>
      <c r="E22" s="36" t="n"/>
      <c r="F22" s="36" t="n"/>
      <c r="G22" s="36" t="n"/>
    </row>
    <row r="23" ht="15" customHeight="1" s="27">
      <c r="A23" s="36" t="n"/>
      <c r="B23" s="36" t="n"/>
      <c r="C23" s="36" t="n"/>
      <c r="D23" s="38">
        <f>IF(AND(ISNUMBER(B23),ISNUMBER(C23)),C23-B23,"")</f>
        <v/>
      </c>
      <c r="E23" s="36" t="n"/>
      <c r="F23" s="36" t="n"/>
      <c r="G23" s="36" t="n"/>
    </row>
    <row r="24" ht="15" customHeight="1" s="27">
      <c r="A24" s="36" t="n"/>
      <c r="B24" s="36" t="n"/>
      <c r="C24" s="36" t="n"/>
      <c r="D24" s="38">
        <f>IF(AND(ISNUMBER(B24),ISNUMBER(C24)),C24-B24,"")</f>
        <v/>
      </c>
      <c r="E24" s="36" t="n"/>
      <c r="F24" s="36" t="n"/>
      <c r="G24" s="36" t="n"/>
    </row>
    <row r="25" ht="15" customHeight="1" s="27">
      <c r="A25" s="36" t="n"/>
      <c r="B25" s="36" t="n"/>
      <c r="C25" s="36" t="n"/>
      <c r="D25" s="38">
        <f>IF(AND(ISNUMBER(B25),ISNUMBER(C25)),C25-B25,"")</f>
        <v/>
      </c>
      <c r="E25" s="36" t="n"/>
      <c r="F25" s="36" t="n"/>
      <c r="G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</row>
  </sheetData>
  <mergeCells count="2">
    <mergeCell ref="A2:G2"/>
    <mergeCell ref="A1:G1"/>
  </mergeCells>
  <dataValidations count="1">
    <dataValidation sqref="E5:E25" showDropDown="0" showInputMessage="0" showErrorMessage="0" allowBlank="1" type="list" errorStyle="stop" operator="between">
      <formula1>"Green,Amber,Red"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6" min="1" max="5"/>
  </cols>
  <sheetData>
    <row r="1" ht="17.35" customHeight="1" s="27">
      <c r="A1" s="39" t="inlineStr">
        <is>
          <t>Kanban Board</t>
        </is>
      </c>
    </row>
    <row r="2" ht="15" customHeight="1" s="27">
      <c r="A2" s="29" t="inlineStr">
        <is>
          <t>Move cards across columns. Use one row per task; fill the relevant column.</t>
        </is>
      </c>
    </row>
    <row r="3"/>
    <row r="4" ht="15" customHeight="1" s="27">
      <c r="A4" s="40" t="inlineStr">
        <is>
          <t>Backlog</t>
        </is>
      </c>
      <c r="B4" s="40" t="inlineStr">
        <is>
          <t>To Do</t>
        </is>
      </c>
      <c r="C4" s="40" t="inlineStr">
        <is>
          <t>In Progress</t>
        </is>
      </c>
      <c r="D4" s="40" t="inlineStr">
        <is>
          <t>Review</t>
        </is>
      </c>
      <c r="E4" s="40" t="inlineStr">
        <is>
          <t>Done</t>
        </is>
      </c>
    </row>
    <row r="5" ht="15" customHeight="1" s="27">
      <c r="A5" s="35" t="inlineStr">
        <is>
          <t>Add new sites</t>
        </is>
      </c>
      <c r="B5" s="41" t="inlineStr">
        <is>
          <t>Order power kit</t>
        </is>
      </c>
      <c r="C5" s="42" t="inlineStr">
        <is>
          <t>Splice 63 sites</t>
        </is>
      </c>
      <c r="D5" s="43" t="inlineStr">
        <is>
          <t>QA retrofit</t>
        </is>
      </c>
      <c r="E5" s="44" t="inlineStr">
        <is>
          <t>Charter signed</t>
        </is>
      </c>
    </row>
    <row r="6" ht="15" customHeight="1" s="27">
      <c r="A6" s="35" t="inlineStr">
        <is>
          <t>Q4 budget plan</t>
        </is>
      </c>
      <c r="B6" s="41" t="inlineStr">
        <is>
          <t>Vendor PQ</t>
        </is>
      </c>
      <c r="C6" s="42" t="inlineStr">
        <is>
          <t>Civil works</t>
        </is>
      </c>
      <c r="D6" s="43" t="inlineStr">
        <is>
          <t>OTDR review</t>
        </is>
      </c>
      <c r="E6" s="44" t="inlineStr">
        <is>
          <t>Stakeholder map</t>
        </is>
      </c>
    </row>
    <row r="7" ht="15" customHeight="1" s="27">
      <c r="A7" s="45" t="n"/>
      <c r="B7" s="46" t="n"/>
      <c r="C7" s="47" t="n"/>
      <c r="D7" s="48" t="n"/>
      <c r="E7" s="49" t="n"/>
    </row>
    <row r="8" ht="15" customHeight="1" s="27">
      <c r="A8" s="45" t="n"/>
      <c r="B8" s="46" t="n"/>
      <c r="C8" s="47" t="n"/>
      <c r="D8" s="48" t="n"/>
      <c r="E8" s="49" t="n"/>
    </row>
    <row r="9" ht="15" customHeight="1" s="27">
      <c r="A9" s="45" t="n"/>
      <c r="B9" s="46" t="n"/>
      <c r="C9" s="47" t="n"/>
      <c r="D9" s="48" t="n"/>
      <c r="E9" s="49" t="n"/>
    </row>
    <row r="10" ht="15" customHeight="1" s="27">
      <c r="A10" s="45" t="n"/>
      <c r="B10" s="46" t="n"/>
      <c r="C10" s="47" t="n"/>
      <c r="D10" s="48" t="n"/>
      <c r="E10" s="49" t="n"/>
    </row>
    <row r="11" ht="15" customHeight="1" s="27">
      <c r="A11" s="45" t="n"/>
      <c r="B11" s="46" t="n"/>
      <c r="C11" s="47" t="n"/>
      <c r="D11" s="48" t="n"/>
      <c r="E11" s="49" t="n"/>
    </row>
    <row r="12" ht="15" customHeight="1" s="27">
      <c r="A12" s="45" t="n"/>
      <c r="B12" s="46" t="n"/>
      <c r="C12" s="47" t="n"/>
      <c r="D12" s="48" t="n"/>
      <c r="E12" s="49" t="n"/>
    </row>
    <row r="13" ht="15" customHeight="1" s="27">
      <c r="A13" s="45" t="n"/>
      <c r="B13" s="46" t="n"/>
      <c r="C13" s="47" t="n"/>
      <c r="D13" s="48" t="n"/>
      <c r="E13" s="49" t="n"/>
    </row>
    <row r="14" ht="15" customHeight="1" s="27">
      <c r="A14" s="45" t="n"/>
      <c r="B14" s="46" t="n"/>
      <c r="C14" s="47" t="n"/>
      <c r="D14" s="48" t="n"/>
      <c r="E14" s="49" t="n"/>
    </row>
    <row r="15" ht="15" customHeight="1" s="27">
      <c r="A15" s="45" t="n"/>
      <c r="B15" s="46" t="n"/>
      <c r="C15" s="47" t="n"/>
      <c r="D15" s="48" t="n"/>
      <c r="E15" s="49" t="n"/>
    </row>
    <row r="16" ht="15" customHeight="1" s="27">
      <c r="A16" s="45" t="n"/>
      <c r="B16" s="46" t="n"/>
      <c r="C16" s="47" t="n"/>
      <c r="D16" s="48" t="n"/>
      <c r="E16" s="49" t="n"/>
    </row>
    <row r="17" ht="15" customHeight="1" s="27">
      <c r="A17" s="45" t="n"/>
      <c r="B17" s="46" t="n"/>
      <c r="C17" s="47" t="n"/>
      <c r="D17" s="48" t="n"/>
      <c r="E17" s="49" t="n"/>
    </row>
    <row r="18" ht="15" customHeight="1" s="27">
      <c r="A18" s="45" t="n"/>
      <c r="B18" s="46" t="n"/>
      <c r="C18" s="47" t="n"/>
      <c r="D18" s="48" t="n"/>
      <c r="E18" s="49" t="n"/>
    </row>
    <row r="19" ht="15" customHeight="1" s="27">
      <c r="A19" s="45" t="n"/>
      <c r="B19" s="46" t="n"/>
      <c r="C19" s="47" t="n"/>
      <c r="D19" s="48" t="n"/>
      <c r="E19" s="49" t="n"/>
    </row>
    <row r="20" ht="15" customHeight="1" s="27">
      <c r="A20" s="45" t="n"/>
      <c r="B20" s="46" t="n"/>
      <c r="C20" s="47" t="n"/>
      <c r="D20" s="48" t="n"/>
      <c r="E20" s="49" t="n"/>
    </row>
    <row r="21" ht="15" customHeight="1" s="27">
      <c r="A21" s="45" t="n"/>
      <c r="B21" s="46" t="n"/>
      <c r="C21" s="47" t="n"/>
      <c r="D21" s="48" t="n"/>
      <c r="E21" s="49" t="n"/>
    </row>
    <row r="22" ht="15" customHeight="1" s="27">
      <c r="A22" s="45" t="n"/>
      <c r="B22" s="46" t="n"/>
      <c r="C22" s="47" t="n"/>
      <c r="D22" s="48" t="n"/>
      <c r="E22" s="49" t="n"/>
    </row>
    <row r="23" ht="15" customHeight="1" s="27">
      <c r="A23" s="45" t="n"/>
      <c r="B23" s="46" t="n"/>
      <c r="C23" s="47" t="n"/>
      <c r="D23" s="48" t="n"/>
      <c r="E23" s="49" t="n"/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6" min="1" max="1"/>
    <col width="25" customWidth="1" style="26" min="2" max="4"/>
  </cols>
  <sheetData>
    <row r="1" ht="17.35" customHeight="1" s="27">
      <c r="A1" s="39" t="inlineStr">
        <is>
          <t>PROJECT STATUS REPORT</t>
        </is>
      </c>
    </row>
    <row r="2"/>
    <row r="3" ht="15" customHeight="1" s="27">
      <c r="A3" s="50" t="inlineStr">
        <is>
          <t>Project Name</t>
        </is>
      </c>
      <c r="B3" s="51" t="n"/>
      <c r="C3" s="52" t="n"/>
      <c r="D3" s="53" t="n"/>
    </row>
    <row r="4" ht="15" customHeight="1" s="27">
      <c r="A4" s="50" t="inlineStr">
        <is>
          <t>Project Manager</t>
        </is>
      </c>
      <c r="B4" s="51" t="n"/>
      <c r="C4" s="52" t="n"/>
      <c r="D4" s="53" t="n"/>
    </row>
    <row r="5" ht="15" customHeight="1" s="27">
      <c r="A5" s="50" t="inlineStr">
        <is>
          <t>Reporting Period</t>
        </is>
      </c>
      <c r="B5" s="51" t="n"/>
      <c r="C5" s="52" t="n"/>
      <c r="D5" s="53" t="n"/>
    </row>
    <row r="6" ht="15" customHeight="1" s="27">
      <c r="A6" s="50" t="inlineStr">
        <is>
          <t>Overall RAG</t>
        </is>
      </c>
      <c r="B6" s="51" t="inlineStr">
        <is>
          <t>Green / Amber / Red</t>
        </is>
      </c>
      <c r="C6" s="52" t="n"/>
      <c r="D6" s="53" t="n"/>
    </row>
    <row r="7" ht="15" customHeight="1" s="27">
      <c r="A7" s="50" t="inlineStr">
        <is>
          <t>Schedule RAG</t>
        </is>
      </c>
      <c r="B7" s="51" t="n"/>
      <c r="C7" s="52" t="n"/>
      <c r="D7" s="53" t="n"/>
    </row>
    <row r="8" ht="15" customHeight="1" s="27">
      <c r="A8" s="50" t="inlineStr">
        <is>
          <t>Budget RAG</t>
        </is>
      </c>
      <c r="B8" s="51" t="n"/>
      <c r="C8" s="52" t="n"/>
      <c r="D8" s="53" t="n"/>
    </row>
    <row r="9" ht="15" customHeight="1" s="27">
      <c r="A9" s="50" t="inlineStr">
        <is>
          <t>Scope RAG</t>
        </is>
      </c>
      <c r="B9" s="51" t="n"/>
      <c r="C9" s="52" t="n"/>
      <c r="D9" s="53" t="n"/>
    </row>
    <row r="10" ht="15" customHeight="1" s="27">
      <c r="A10" s="50" t="inlineStr">
        <is>
          <t>Risk RAG</t>
        </is>
      </c>
      <c r="B10" s="51" t="n"/>
      <c r="C10" s="52" t="n"/>
      <c r="D10" s="53" t="n"/>
    </row>
    <row r="11"/>
    <row r="12" ht="15" customHeight="1" s="27">
      <c r="A12" s="54" t="inlineStr">
        <is>
          <t>Key Achievements This Period</t>
        </is>
      </c>
      <c r="B12" s="52" t="n"/>
      <c r="C12" s="52" t="n"/>
      <c r="D12" s="53" t="n"/>
    </row>
    <row r="13" ht="15" customHeight="1" s="27">
      <c r="A13" s="51" t="inlineStr">
        <is>
          <t>•</t>
        </is>
      </c>
      <c r="B13" s="52" t="n"/>
      <c r="C13" s="52" t="n"/>
      <c r="D13" s="53" t="n"/>
    </row>
    <row r="14" ht="15" customHeight="1" s="27">
      <c r="A14" s="51" t="inlineStr">
        <is>
          <t>•</t>
        </is>
      </c>
      <c r="B14" s="52" t="n"/>
      <c r="C14" s="52" t="n"/>
      <c r="D14" s="53" t="n"/>
    </row>
    <row r="15" ht="15" customHeight="1" s="27">
      <c r="A15" s="51" t="inlineStr">
        <is>
          <t>•</t>
        </is>
      </c>
      <c r="B15" s="52" t="n"/>
      <c r="C15" s="52" t="n"/>
      <c r="D15" s="53" t="n"/>
    </row>
    <row r="16"/>
    <row r="17" ht="15" customHeight="1" s="27">
      <c r="A17" s="54" t="inlineStr">
        <is>
          <t>Planned for Next Period</t>
        </is>
      </c>
      <c r="B17" s="52" t="n"/>
      <c r="C17" s="52" t="n"/>
      <c r="D17" s="53" t="n"/>
    </row>
    <row r="18" ht="15" customHeight="1" s="27">
      <c r="A18" s="51" t="inlineStr">
        <is>
          <t>•</t>
        </is>
      </c>
      <c r="B18" s="52" t="n"/>
      <c r="C18" s="52" t="n"/>
      <c r="D18" s="53" t="n"/>
    </row>
    <row r="19" ht="15" customHeight="1" s="27">
      <c r="A19" s="51" t="inlineStr">
        <is>
          <t>•</t>
        </is>
      </c>
      <c r="B19" s="52" t="n"/>
      <c r="C19" s="52" t="n"/>
      <c r="D19" s="53" t="n"/>
    </row>
    <row r="20" ht="15" customHeight="1" s="27">
      <c r="A20" s="51" t="inlineStr">
        <is>
          <t>•</t>
        </is>
      </c>
      <c r="B20" s="52" t="n"/>
      <c r="C20" s="52" t="n"/>
      <c r="D20" s="53" t="n"/>
    </row>
    <row r="21"/>
    <row r="22" ht="15" customHeight="1" s="27">
      <c r="A22" s="54" t="inlineStr">
        <is>
          <t>Key Risks &amp; Issues</t>
        </is>
      </c>
      <c r="B22" s="52" t="n"/>
      <c r="C22" s="52" t="n"/>
      <c r="D22" s="53" t="n"/>
    </row>
    <row r="23" ht="15" customHeight="1" s="27">
      <c r="A23" s="51" t="inlineStr">
        <is>
          <t>•</t>
        </is>
      </c>
      <c r="B23" s="52" t="n"/>
      <c r="C23" s="52" t="n"/>
      <c r="D23" s="53" t="n"/>
    </row>
    <row r="24" ht="15" customHeight="1" s="27">
      <c r="A24" s="51" t="inlineStr">
        <is>
          <t>•</t>
        </is>
      </c>
      <c r="B24" s="52" t="n"/>
      <c r="C24" s="52" t="n"/>
      <c r="D24" s="53" t="n"/>
    </row>
    <row r="25" ht="15" customHeight="1" s="27">
      <c r="A25" s="51" t="inlineStr">
        <is>
          <t>•</t>
        </is>
      </c>
      <c r="B25" s="52" t="n"/>
      <c r="C25" s="52" t="n"/>
      <c r="D25" s="53" t="n"/>
    </row>
    <row r="26"/>
    <row r="27" ht="15" customHeight="1" s="27">
      <c r="A27" s="54" t="inlineStr">
        <is>
          <t>Decisions / Escalations Needed</t>
        </is>
      </c>
      <c r="B27" s="52" t="n"/>
      <c r="C27" s="52" t="n"/>
      <c r="D27" s="53" t="n"/>
    </row>
    <row r="28" ht="15" customHeight="1" s="27">
      <c r="A28" s="51" t="inlineStr">
        <is>
          <t>•</t>
        </is>
      </c>
      <c r="B28" s="52" t="n"/>
      <c r="C28" s="52" t="n"/>
      <c r="D28" s="53" t="n"/>
    </row>
    <row r="29" ht="15" customHeight="1" s="27">
      <c r="A29" s="51" t="inlineStr">
        <is>
          <t>•</t>
        </is>
      </c>
      <c r="B29" s="52" t="n"/>
      <c r="C29" s="52" t="n"/>
      <c r="D29" s="53" t="n"/>
    </row>
    <row r="30" ht="15" customHeight="1" s="27">
      <c r="A30" s="51" t="inlineStr">
        <is>
          <t>•</t>
        </is>
      </c>
      <c r="B30" s="52" t="n"/>
      <c r="C30" s="52" t="n"/>
      <c r="D30" s="53" t="n"/>
    </row>
  </sheetData>
  <mergeCells count="25">
    <mergeCell ref="A17:D17"/>
    <mergeCell ref="A23:D23"/>
    <mergeCell ref="A22:D22"/>
    <mergeCell ref="B8:D8"/>
    <mergeCell ref="A20:D20"/>
    <mergeCell ref="A29:D29"/>
    <mergeCell ref="A19:D19"/>
    <mergeCell ref="A28:D28"/>
    <mergeCell ref="A13:D13"/>
    <mergeCell ref="B10:D10"/>
    <mergeCell ref="A30:D30"/>
    <mergeCell ref="B9:D9"/>
    <mergeCell ref="A15:D15"/>
    <mergeCell ref="A24:D24"/>
    <mergeCell ref="B6:D6"/>
    <mergeCell ref="A1:D1"/>
    <mergeCell ref="B5:D5"/>
    <mergeCell ref="B4:D4"/>
    <mergeCell ref="A25:D25"/>
    <mergeCell ref="B7:D7"/>
    <mergeCell ref="B3:D3"/>
    <mergeCell ref="A18:D18"/>
    <mergeCell ref="A27:D27"/>
    <mergeCell ref="A12:D1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2026-06-17T16:26:40Z</dcterms:modified>
  <cp:revision>0</cp:revision>
</cp:coreProperties>
</file>